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matrix" sheetId="1" r:id="rId5"/>
    <sheet state="visible" name="SM" sheetId="2" r:id="rId6"/>
    <sheet state="visible" name="STable-1" sheetId="3" r:id="rId7"/>
    <sheet state="visible" name="STable-2" sheetId="4" r:id="rId8"/>
    <sheet state="hidden" name="Table1" sheetId="5" r:id="rId9"/>
    <sheet state="hidden" name="fb" sheetId="6" r:id="rId10"/>
    <sheet state="hidden" name="ecuacion de busqueda" sheetId="7" r:id="rId11"/>
    <sheet state="visible" name="STable-3" sheetId="8" r:id="rId12"/>
    <sheet state="hidden" name="Copia de emergentes"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Variables used to address the objective (include units).</t>
      </text>
    </comment>
    <comment authorId="0" ref="C1">
      <text>
        <t xml:space="preserve">Description of table, figure, or graph to address the specific objective</t>
      </text>
    </comment>
    <comment authorId="0" ref="D1">
      <text>
        <t xml:space="preserve">Which statistical analysis will be used for each table or figure?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Formulación de las ideas; formulación o evolución de los objetivos y metas generales de la investigación.
</t>
      </text>
    </comment>
    <comment authorId="0" ref="E1">
      <text>
        <t xml:space="preserve">Gestión de actividades para anotar y mantener los datos de investigación, incluyendo limpieza, mantenimiento y almacenamiento.</t>
      </text>
    </comment>
    <comment authorId="0" ref="F1">
      <text>
        <t xml:space="preserve">Aplicación de técnicas estadísticas, matemáticas, computacionales u otras técnicas formales para analizar o sintetizar los datos del estudio.</t>
      </text>
    </comment>
    <comment authorId="0" ref="G1">
      <text>
        <t xml:space="preserve">Obtención de apoyo financiero para el proyecto que dio lugar a esta publicación.</t>
      </text>
    </comment>
    <comment authorId="0" ref="H1">
      <text>
        <t xml:space="preserve">Realización de la investigación y el proceso de investigación, específicamente la realización de experimentos o la recopilación de datos/evidencias.</t>
      </text>
    </comment>
    <comment authorId="0" ref="I1">
      <text>
        <t xml:space="preserve">Desarrollo o diseño de la metodología; creación de modelos.</t>
      </text>
    </comment>
    <comment authorId="0" ref="J1">
      <text>
        <t xml:space="preserve">Responsabilidad de gestión y coordinación de la planificación y ejecución de la investigación.</t>
      </text>
    </comment>
    <comment authorId="0" ref="K1">
      <text>
        <t xml:space="preserve">Provisión de materiales de estudio, reactivos, materiales de laboratorio, pacientes, recursos informáticos u otras herramientas de análisis.</t>
      </text>
    </comment>
    <comment authorId="0" ref="L1">
      <text>
        <t xml:space="preserve">Programación, desarrollo de software, diseño de código, implementación de algoritmos, pruebas de componentes y mantenimiento del código.</t>
      </text>
    </comment>
    <comment authorId="0" ref="M1">
      <text>
        <t xml:space="preserve">Supervisión y liderazgo en la planificación y ejecución de la actividad de investigación, incluyendo la tutoría externa para el equipo.</t>
      </text>
    </comment>
    <comment authorId="0" ref="N1">
      <text>
        <t xml:space="preserve">Verificación, ya sea como parte de la actividad o por separado, de la reproducibilidad de los resultados y otros aspectos de la investigación.</t>
      </text>
    </comment>
    <comment authorId="0" ref="O1">
      <text>
        <t xml:space="preserve">Preparación, creación y/o presentación de los datos visualizados o de los resultados de la investigación.</t>
      </text>
    </comment>
    <comment authorId="0" ref="P1">
      <text>
        <t xml:space="preserve">Redacción inicial del manuscrito, incluida la redacción sustancial de las secciones clave.</t>
      </text>
    </comment>
    <comment authorId="0" ref="Q1">
      <text>
        <t xml:space="preserve">Revisión crítica, comentarios y correcciones, incluyendo las etapas finales del proceso de publicación.
</t>
      </text>
    </comment>
  </commentList>
</comments>
</file>

<file path=xl/sharedStrings.xml><?xml version="1.0" encoding="utf-8"?>
<sst xmlns="http://schemas.openxmlformats.org/spreadsheetml/2006/main" count="1141" uniqueCount="360">
  <si>
    <t>Supplementary Material</t>
  </si>
  <si>
    <t>Specific Objectives</t>
  </si>
  <si>
    <t>Institución</t>
  </si>
  <si>
    <t>Description</t>
  </si>
  <si>
    <t>Supplementary Table 1</t>
  </si>
  <si>
    <t>The table presents information on the institutions responsible for the conservation of plant genetic resources, including their geographic region, the person responsible for the information, and their contact details.</t>
  </si>
  <si>
    <t>Región</t>
  </si>
  <si>
    <t>Supplementary Table 2</t>
  </si>
  <si>
    <t>The table presents information on germplasm banks and their conserved collections, including region, province, district, institution, acronym, scientific name, germplasm material, number of accessions, evaluated characteristics, conservation strategies, year of registration, main limitations, and availability for material exchange.</t>
  </si>
  <si>
    <t>Responsable</t>
  </si>
  <si>
    <t>Supplementary Table 3</t>
  </si>
  <si>
    <t>Author contributions according to the CRediT (Contributor Roles Taxonomy) classification.</t>
  </si>
  <si>
    <t xml:space="preserve">Correo </t>
  </si>
  <si>
    <t>Variables</t>
  </si>
  <si>
    <t xml:space="preserve">Instituto Nacionacional de Innovacion Agraria (INIA) </t>
  </si>
  <si>
    <t>Presentation</t>
  </si>
  <si>
    <t>Statistical Analyses</t>
  </si>
  <si>
    <t>Lima</t>
  </si>
  <si>
    <t>Results</t>
  </si>
  <si>
    <t>Dina Gutierrez</t>
  </si>
  <si>
    <t>dgutierrez@inia.gob.pe</t>
  </si>
  <si>
    <t>Discussion</t>
  </si>
  <si>
    <t>Limitations</t>
  </si>
  <si>
    <t>M&amp;M</t>
  </si>
  <si>
    <t>Hacer un analisis bibliográfico de cultivos huerfanos|subutilizados|emergentes en Perú</t>
  </si>
  <si>
    <t>Rank</t>
  </si>
  <si>
    <t>Reporte de estados de bancos de germoplasma de cultivos emergente (encuesta)</t>
  </si>
  <si>
    <t>Title</t>
  </si>
  <si>
    <t>- Escuesta
- INIA (catátalogos)</t>
  </si>
  <si>
    <t>Mapa de localización de los BG</t>
  </si>
  <si>
    <t xml:space="preserve">Universidad Nacional del Altiplano (UNA) </t>
  </si>
  <si>
    <t>Author</t>
  </si>
  <si>
    <t>Source</t>
  </si>
  <si>
    <t>Puno</t>
  </si>
  <si>
    <t>TC</t>
  </si>
  <si>
    <t>Document</t>
  </si>
  <si>
    <t>Diagnostico del estados de los bancos y conservación</t>
  </si>
  <si>
    <t>Angel Mujica</t>
  </si>
  <si>
    <t xml:space="preserve">Encuestas </t>
  </si>
  <si>
    <r>
      <rPr>
        <rFont val="'Times New Roman',serif"/>
        <color rgb="FF000000"/>
        <sz val="11.0"/>
      </rPr>
      <t>Genetic variability and interrelationship among various morphological and quality traits in quinoa (</t>
    </r>
    <r>
      <rPr>
        <rFont val="'Times New Roman',serif"/>
        <i/>
        <color rgb="FF000000"/>
        <sz val="11.0"/>
      </rPr>
      <t>Chenopodium quinoa</t>
    </r>
    <r>
      <rPr>
        <rFont val="'Times New Roman',serif"/>
        <color rgb="FF000000"/>
        <sz val="11.0"/>
      </rPr>
      <t xml:space="preserve"> Willd.)</t>
    </r>
  </si>
  <si>
    <t xml:space="preserve">amujica@unap.edu.pe </t>
  </si>
  <si>
    <t>Bhargava A;Shukla S;Ohri D</t>
  </si>
  <si>
    <t>Field Crops Research</t>
  </si>
  <si>
    <t>Article</t>
  </si>
  <si>
    <t>Universidad Nacional de San Antonio Abad del Cusco (UNSAAC)</t>
  </si>
  <si>
    <r>
      <rPr>
        <rFont val="'Times New Roman',serif"/>
        <color rgb="FF000000"/>
        <sz val="11.0"/>
      </rPr>
      <t xml:space="preserve">Extending the range of an ancient crop, </t>
    </r>
    <r>
      <rPr>
        <rFont val="'Times New Roman',serif"/>
        <i/>
        <color rgb="FF000000"/>
        <sz val="11.0"/>
      </rPr>
      <t xml:space="preserve">Salvia hispanica </t>
    </r>
    <r>
      <rPr>
        <rFont val="'Times New Roman',serif"/>
        <color rgb="FF000000"/>
        <sz val="11.0"/>
      </rPr>
      <t>L.-a new ω3 source</t>
    </r>
  </si>
  <si>
    <t>Jamboonsri W;Phillips Td;Geneve Rl;Cahill Jp;Hildebrand Df</t>
  </si>
  <si>
    <t xml:space="preserve">Cusco </t>
  </si>
  <si>
    <t>Genetic Resources And Crop Evolution</t>
  </si>
  <si>
    <t>Aquilino Alvarez</t>
  </si>
  <si>
    <t>Sampling strategy for a core collection of peruvian quinoa germplasm</t>
  </si>
  <si>
    <t>aquilino.alvarez@unsaac.edu.pe</t>
  </si>
  <si>
    <t>Ortiz R;Ruiz-Tapia En;Mujica-Sanchez A</t>
  </si>
  <si>
    <t>Theoretical And Applied Genetics</t>
  </si>
  <si>
    <t>Universidad Nacional de San Cristóbal de Huamanga (UNSCH)</t>
  </si>
  <si>
    <r>
      <rPr>
        <rFont val="'Times New Roman',serif"/>
        <color rgb="FF000000"/>
        <sz val="11.0"/>
      </rPr>
      <t>Assessment of genetic diversity patterns in chilean quinoa (</t>
    </r>
    <r>
      <rPr>
        <rFont val="'Times New Roman',serif"/>
        <i/>
        <color rgb="FF000000"/>
        <sz val="11.0"/>
      </rPr>
      <t>Chenopodium quinoa</t>
    </r>
    <r>
      <rPr>
        <rFont val="'Times New Roman',serif"/>
        <color rgb="FF000000"/>
        <sz val="11.0"/>
      </rPr>
      <t xml:space="preserve"> willd.) germplasm using multiplex fluorescent microsatellite markers</t>
    </r>
  </si>
  <si>
    <t xml:space="preserve">Ayacucho </t>
  </si>
  <si>
    <t>Fuentes Ff;Martinez Ea;Hinrichsen Pv;Jellen En;Maughan Pj</t>
  </si>
  <si>
    <t>Conservation Genetics</t>
  </si>
  <si>
    <t>German de la Cruz</t>
  </si>
  <si>
    <r>
      <rPr>
        <rFont val="'Times New Roman',serif"/>
        <color rgb="FF000000"/>
        <sz val="11.0"/>
      </rPr>
      <t>Assessment of genetic diversity in the usda and cip-fao international nursery collections of quinoa (</t>
    </r>
    <r>
      <rPr>
        <rFont val="'Times New Roman',serif"/>
        <i/>
        <color rgb="FF000000"/>
        <sz val="11.0"/>
      </rPr>
      <t>Chenopodium quinoa</t>
    </r>
    <r>
      <rPr>
        <rFont val="'Times New Roman',serif"/>
        <color rgb="FF000000"/>
        <sz val="11.0"/>
      </rPr>
      <t xml:space="preserve"> Willd.) using microsatellite markers</t>
    </r>
  </si>
  <si>
    <t>german.delacruz@unsch.edu.pe</t>
  </si>
  <si>
    <t>Christensen Sa;Pratt Db;Pratt C;Nelson Pt;Stevens Mr;Jellen En;Coleman Ce;Fairbanks Dj;Bonifacio A;Maughan Pj</t>
  </si>
  <si>
    <t>Plant Genetic Resources: Characterisation And Utilisation</t>
  </si>
  <si>
    <t xml:space="preserve">Region </t>
  </si>
  <si>
    <t>Universidad Nacional Agraria La Molina (UNALM)</t>
  </si>
  <si>
    <t>Implications of farmers' seed exchanges for on-farm conservation of quinoa, as revealed by its genetic diversity in chile</t>
  </si>
  <si>
    <t>Fuentes Ff;Bazile D;Bhargava A;Martínez Ea</t>
  </si>
  <si>
    <t xml:space="preserve">Lima </t>
  </si>
  <si>
    <t>Journal Of Agricultural Science</t>
  </si>
  <si>
    <t>Jorge Jimenez</t>
  </si>
  <si>
    <t>Influence of contrasting environments on seed composition of two quinoa genotypes: Nutritional and functional properties</t>
  </si>
  <si>
    <t>Miranda M;Vega-Gálvez A;Martínez Ea;López J;Marín R;Aranda M;Fuentes F</t>
  </si>
  <si>
    <t>jjimenezd@lamolina.edu.pe</t>
  </si>
  <si>
    <t>Chilean Journal Of Agricultural Research</t>
  </si>
  <si>
    <t xml:space="preserve">Provincia </t>
  </si>
  <si>
    <t>Universidad Nacional Toribio Rodriguez de Mendoza (UNTRM)</t>
  </si>
  <si>
    <t>Seed composition and amino acid profiles for quinoa grown in washington state</t>
  </si>
  <si>
    <t>Craine Eb;Murphy Km</t>
  </si>
  <si>
    <t>District</t>
  </si>
  <si>
    <t>Frontiers In Nutrition</t>
  </si>
  <si>
    <t xml:space="preserve">Amazonas </t>
  </si>
  <si>
    <t>Flavio Lozano Isla</t>
  </si>
  <si>
    <t>Institution</t>
  </si>
  <si>
    <r>
      <rPr>
        <rFont val="'Times New Roman',serif"/>
        <color rgb="FF000000"/>
        <sz val="11.0"/>
      </rPr>
      <t>Diversity in phenotypic and nutritional traits in vegetable amaranth (</t>
    </r>
    <r>
      <rPr>
        <rFont val="'Times New Roman',serif"/>
        <i/>
        <color rgb="FF000000"/>
        <sz val="11.0"/>
      </rPr>
      <t>Amaranthus tricolor</t>
    </r>
    <r>
      <rPr>
        <rFont val="'Times New Roman',serif"/>
        <color rgb="FF000000"/>
        <sz val="11.0"/>
      </rPr>
      <t>), a nutritionally underutilised crop</t>
    </r>
  </si>
  <si>
    <t>flavio.lozano@untrm.edu.pe</t>
  </si>
  <si>
    <t>Shukla S;Bhargava A;Chatterjee A;Pandey Ac;Mishra Bk</t>
  </si>
  <si>
    <t>Acro</t>
  </si>
  <si>
    <t>Journal Of The Science Of Food And Agriculture</t>
  </si>
  <si>
    <t>Universidad Nacional de la Amazonía Peruana</t>
  </si>
  <si>
    <t xml:space="preserve">Iquitos </t>
  </si>
  <si>
    <t>Morphological analysis of quinoa germplasm grown under lowland desert conditions</t>
  </si>
  <si>
    <t>Fuentes F;Bhargava A</t>
  </si>
  <si>
    <t xml:space="preserve">Nombre_cientifico </t>
  </si>
  <si>
    <t>Journal Of Agronomy And Crop Science</t>
  </si>
  <si>
    <t>Juan C. Castro</t>
  </si>
  <si>
    <t>juan.castro@unapiquitos.edu.pe</t>
  </si>
  <si>
    <t xml:space="preserve">Germoplasma </t>
  </si>
  <si>
    <t>Centro Internacional de la papa</t>
  </si>
  <si>
    <t>Numero_accesiones</t>
  </si>
  <si>
    <t>Manrique, Ivan</t>
  </si>
  <si>
    <t>Caracterizaciones</t>
  </si>
  <si>
    <t>I.MANRIQUE@cgiar.org</t>
  </si>
  <si>
    <t>Universidad Nacional de San Agustín de Arequipa</t>
  </si>
  <si>
    <t xml:space="preserve">Conservacion </t>
  </si>
  <si>
    <t xml:space="preserve">Arequipa </t>
  </si>
  <si>
    <t xml:space="preserve">Eje tematico </t>
  </si>
  <si>
    <t>María del Rosario Valderrama Valencia</t>
  </si>
  <si>
    <t>Nombres y apellidos</t>
  </si>
  <si>
    <t>mvalderramav@unsa.edu.pe</t>
  </si>
  <si>
    <t xml:space="preserve">Nombre cientifico </t>
  </si>
  <si>
    <t xml:space="preserve">Año </t>
  </si>
  <si>
    <t xml:space="preserve">Nombre común </t>
  </si>
  <si>
    <t xml:space="preserve">Correo electrónico </t>
  </si>
  <si>
    <t xml:space="preserve">Ecuación de busqueda </t>
  </si>
  <si>
    <t xml:space="preserve">Limitaciones </t>
  </si>
  <si>
    <t>Total</t>
  </si>
  <si>
    <t>Department</t>
  </si>
  <si>
    <t xml:space="preserve">Disponiblidad de intercambio </t>
  </si>
  <si>
    <t xml:space="preserve">Jorge Condori </t>
  </si>
  <si>
    <t xml:space="preserve">Área temática: Limitado a  las ciencias agrícolas y biológicas.
Limitado a  Bioquímica, Genética y Biología Molecular.
</t>
  </si>
  <si>
    <t>Province</t>
  </si>
  <si>
    <t xml:space="preserve"> jorge.condori@untrm.edu.pe</t>
  </si>
  <si>
    <t>Instituto</t>
  </si>
  <si>
    <t>Excluyo revision</t>
  </si>
  <si>
    <t xml:space="preserve">criterios </t>
  </si>
  <si>
    <t xml:space="preserve">Cita </t>
  </si>
  <si>
    <r>
      <rPr>
        <rFont val="Times New Roman"/>
        <color rgb="FF000000"/>
        <sz val="9.0"/>
      </rPr>
      <t>Kiwicha (</t>
    </r>
    <r>
      <rPr>
        <rFont val="Times New Roman"/>
        <color rgb="FF000000"/>
        <sz val="9.0"/>
      </rPr>
      <t>Amaranthus caudatus</t>
    </r>
    <r>
      <rPr>
        <rFont val="Times New Roman"/>
        <color rgb="FF000000"/>
        <sz val="9.0"/>
      </rPr>
      <t>)</t>
    </r>
  </si>
  <si>
    <t>Chenopodium quinoa</t>
  </si>
  <si>
    <t xml:space="preserve">Juan Carlos Abad </t>
  </si>
  <si>
    <t>Cusco</t>
  </si>
  <si>
    <t>Tropaeolum tuberosum</t>
  </si>
  <si>
    <t>juan.guerrero@untrm.edu.pe</t>
  </si>
  <si>
    <t>Ullucus tuberosus</t>
  </si>
  <si>
    <t>Chenopodium pallidicaule</t>
  </si>
  <si>
    <t>Amaranthus caudatus</t>
  </si>
  <si>
    <t>Anta</t>
  </si>
  <si>
    <t>Lepidium meyenii</t>
  </si>
  <si>
    <t>Wanchaq</t>
  </si>
  <si>
    <t xml:space="preserve">Maywa Cecilia Blanco </t>
  </si>
  <si>
    <t>Estación Experimental Agraria Andenes</t>
  </si>
  <si>
    <t>maywa.blanco@unsaac.edu.pe</t>
  </si>
  <si>
    <t>Oxalis tuberosa</t>
  </si>
  <si>
    <t>EEA-AND</t>
  </si>
  <si>
    <t>Salvia hispanica</t>
  </si>
  <si>
    <t>Arracacia xanthorrhiza</t>
  </si>
  <si>
    <t>Lupinus mutabilis</t>
  </si>
  <si>
    <t>Smallanthus sonchifolius</t>
  </si>
  <si>
    <t xml:space="preserve">accesiones </t>
  </si>
  <si>
    <t>Aquilino Alvarez Caceres</t>
  </si>
  <si>
    <t xml:space="preserve">Fenotipica </t>
  </si>
  <si>
    <t>campo, in vitro</t>
  </si>
  <si>
    <t>Universidad Nacional de San Antonio Abad del Cusco</t>
  </si>
  <si>
    <t>San Jerónimo</t>
  </si>
  <si>
    <t>Mayela-Elizabeth Mayta Anco</t>
  </si>
  <si>
    <t>INIA</t>
  </si>
  <si>
    <t>mmaytaan@unsa.edu.pe</t>
  </si>
  <si>
    <t>https://repositorio.inia.gob.pe/items/b12f51da-f580-4854-94d0-bc77c5817ce3</t>
  </si>
  <si>
    <t>TITLE-ABS-KEY( Amaranthus caudatus)  AND  germplasm )</t>
  </si>
  <si>
    <t>Universidad Nacional Daniel Alcides Carrión</t>
  </si>
  <si>
    <t>Pasco</t>
  </si>
  <si>
    <t>Dante David Ponce A.</t>
  </si>
  <si>
    <r>
      <rPr>
        <rFont val="Times New Roman"/>
        <color rgb="FF000000"/>
        <sz val="9.0"/>
      </rPr>
      <t>Arracacha (</t>
    </r>
    <r>
      <rPr>
        <rFont val="Times New Roman"/>
        <color rgb="FF000000"/>
        <sz val="9.0"/>
      </rPr>
      <t>Arracacia xanthorrhiza</t>
    </r>
    <r>
      <rPr>
        <rFont val="Times New Roman"/>
        <color rgb="FF000000"/>
        <sz val="9.0"/>
      </rPr>
      <t>)</t>
    </r>
  </si>
  <si>
    <t>dponcea@undac.edu.pe</t>
  </si>
  <si>
    <t>TITLE-ABS-KEY( Arracacia xanthorrhiza  AND  germplasm )</t>
  </si>
  <si>
    <t>Ivan Manrique</t>
  </si>
  <si>
    <t>i.manrique@cgiar.org</t>
  </si>
  <si>
    <t>Centro Internacional de la Papa</t>
  </si>
  <si>
    <t>Teófilo Pompeyo Cosio Cuentas</t>
  </si>
  <si>
    <t>Cajamarca</t>
  </si>
  <si>
    <r>
      <rPr>
        <rFont val="Times New Roman"/>
        <color rgb="FF000000"/>
        <sz val="9.0"/>
      </rPr>
      <t>Cañihua (</t>
    </r>
    <r>
      <rPr>
        <rFont val="Times New Roman"/>
        <color rgb="FF000000"/>
        <sz val="9.0"/>
      </rPr>
      <t>Chenopodium pallidicaule</t>
    </r>
    <r>
      <rPr>
        <rFont val="Times New Roman"/>
        <color rgb="FF000000"/>
        <sz val="9.0"/>
      </rPr>
      <t>)</t>
    </r>
  </si>
  <si>
    <t>teofilo.cosio@unsaac.edu.pe</t>
  </si>
  <si>
    <t>La Molina</t>
  </si>
  <si>
    <t>Baños del Inca</t>
  </si>
  <si>
    <t>Universidad Nacional del Altiplano</t>
  </si>
  <si>
    <t>TITLE-ABS-KEY( Chenopodium pallidicaule  AND  germplasm )</t>
  </si>
  <si>
    <t>Estación Experimental Agraria Baños del Inca</t>
  </si>
  <si>
    <t>Julio Cesar Sosa Choque</t>
  </si>
  <si>
    <t>EEA-BI</t>
  </si>
  <si>
    <r>
      <rPr>
        <rFont val="Times New Roman"/>
        <color rgb="FF000000"/>
        <sz val="9.0"/>
      </rPr>
      <t>Quinua (</t>
    </r>
    <r>
      <rPr>
        <rFont val="Times New Roman"/>
        <color rgb="FF000000"/>
        <sz val="9.0"/>
      </rPr>
      <t>Chenopodium quinoa</t>
    </r>
    <r>
      <rPr>
        <rFont val="Times New Roman"/>
        <color rgb="FF000000"/>
        <sz val="9.0"/>
      </rPr>
      <t>)</t>
    </r>
  </si>
  <si>
    <t>jcsosa@unap.edu.pe</t>
  </si>
  <si>
    <t>TITLE-ABS-KEY( Chenopodium quinoa  AND  germplasm )</t>
  </si>
  <si>
    <t>Carlos Irvin Arbizu berrocal</t>
  </si>
  <si>
    <t>German Fernando De La Cruz Lapa</t>
  </si>
  <si>
    <r>
      <rPr>
        <rFont val="Times New Roman"/>
        <color rgb="FF000000"/>
        <sz val="9.0"/>
      </rPr>
      <t>Maca (</t>
    </r>
    <r>
      <rPr>
        <rFont val="Times New Roman"/>
        <color rgb="FF000000"/>
        <sz val="9.0"/>
      </rPr>
      <t>Lepidium meyenii</t>
    </r>
    <r>
      <rPr>
        <rFont val="Times New Roman"/>
        <color rgb="FF000000"/>
        <sz val="9.0"/>
      </rPr>
      <t>)</t>
    </r>
  </si>
  <si>
    <t>carlos.arbizu@untrm.edu.pe</t>
  </si>
  <si>
    <t>Universidad Nacional de San Cristóbal de Huamanga</t>
  </si>
  <si>
    <t>Ayacucho</t>
  </si>
  <si>
    <t>TITLE-ABS-KEY( Lepidium meyenii  AND  germplasm )</t>
  </si>
  <si>
    <t>Huamanga</t>
  </si>
  <si>
    <t xml:space="preserve">INIA </t>
  </si>
  <si>
    <t>https://repositorio.inia.gob.pe/items/569b0cc9-ce2e-490a-95cd-4db16b828d95</t>
  </si>
  <si>
    <t>Rember Pinedo</t>
  </si>
  <si>
    <r>
      <rPr>
        <rFont val="Times New Roman"/>
        <color rgb="FF000000"/>
        <sz val="9.0"/>
      </rPr>
      <t>Tarwi (</t>
    </r>
    <r>
      <rPr>
        <rFont val="Times New Roman"/>
        <color rgb="FF000000"/>
        <sz val="9.0"/>
      </rPr>
      <t>Lupinus mutabilis</t>
    </r>
    <r>
      <rPr>
        <rFont val="Times New Roman"/>
        <color rgb="FF000000"/>
        <sz val="9.0"/>
      </rPr>
      <t>)</t>
    </r>
  </si>
  <si>
    <t>rpinedo@lamolina.edu.pe</t>
  </si>
  <si>
    <t>UNIVERSIDAD NACIONAL DE CAJAMARCA</t>
  </si>
  <si>
    <t>TITLE-ABS-KEY( Lupinus mutabilis  AND  germplasm )</t>
  </si>
  <si>
    <t xml:space="preserve">Cajamarca </t>
  </si>
  <si>
    <t xml:space="preserve">Juan Francisco Seminario Cunya </t>
  </si>
  <si>
    <r>
      <rPr>
        <rFont val="Times New Roman"/>
        <color rgb="FF000000"/>
        <sz val="9.0"/>
      </rPr>
      <t>Oca (</t>
    </r>
    <r>
      <rPr>
        <rFont val="Times New Roman"/>
        <color rgb="FF000000"/>
        <sz val="9.0"/>
      </rPr>
      <t>Oxalis tuberosa)</t>
    </r>
  </si>
  <si>
    <t>Angel Mauricio Holguer Mujica Sanchez</t>
  </si>
  <si>
    <t>jseminario@unc.edu.pe</t>
  </si>
  <si>
    <t>amhmujica@yahoo.com</t>
  </si>
  <si>
    <t>TITLE-ABS-KEY( Oxalis tuberosa  AND  germplasm )</t>
  </si>
  <si>
    <t>Estación Experimental  Agraria Andenes</t>
  </si>
  <si>
    <t>Catalina Jiménez</t>
  </si>
  <si>
    <r>
      <rPr>
        <rFont val="Times New Roman"/>
        <color rgb="FF000000"/>
        <sz val="9.0"/>
      </rPr>
      <t>Chía (</t>
    </r>
    <r>
      <rPr>
        <rFont val="Times New Roman"/>
        <color rgb="FF000000"/>
        <sz val="9.0"/>
      </rPr>
      <t>Salvia hispanica)</t>
    </r>
  </si>
  <si>
    <t>catalina.jimenez@unsaac.edu.pe</t>
  </si>
  <si>
    <t>TITLE-ABS-KEY( Salvia hispanica  AND  germplasm )</t>
  </si>
  <si>
    <r>
      <rPr>
        <rFont val="Times New Roman"/>
        <color rgb="FF000000"/>
        <sz val="9.0"/>
      </rPr>
      <t>Yacón (</t>
    </r>
    <r>
      <rPr>
        <rFont val="Times New Roman"/>
        <color rgb="FF000000"/>
        <sz val="9.0"/>
      </rPr>
      <t>Smallanthus sonchifolius</t>
    </r>
    <r>
      <rPr>
        <rFont val="Times New Roman"/>
        <color rgb="FF000000"/>
        <sz val="9.0"/>
      </rPr>
      <t>)</t>
    </r>
  </si>
  <si>
    <t>Elizabeth Fernandez Huaytalla</t>
  </si>
  <si>
    <t>TITLE-ABS-KEY( Smallanthus sonchifolius  AND  germplasm )</t>
  </si>
  <si>
    <t>efernandezh@inia.gob.pe</t>
  </si>
  <si>
    <t>Mashua (Tropaeolum tuberosum)</t>
  </si>
  <si>
    <t>Universidad Nacional de San Antonio abad del Cusco</t>
  </si>
  <si>
    <t>Jorge Alberto Condori Apfata</t>
  </si>
  <si>
    <t>TITLE-ABS-KEY( Tropaeolum tuberosum  AND  germplasm )</t>
  </si>
  <si>
    <t>jorge.condori@untrm.edu.pe</t>
  </si>
  <si>
    <t>Elizabet Cespedes</t>
  </si>
  <si>
    <t>Universidad Nacional Toribio Rodriguez de Mendoza</t>
  </si>
  <si>
    <r>
      <rPr>
        <rFont val="Times New Roman"/>
        <color rgb="FF1155CC"/>
        <sz val="10.0"/>
        <u/>
      </rPr>
      <t>https://repositorio.inia.gob.pe/items/995defe3-7afe-48ca-98b6-d053e11014e9</t>
    </r>
    <r>
      <rPr>
        <rFont val="Times New Roman"/>
        <color rgb="FF1F1F1F"/>
        <sz val="10.0"/>
      </rPr>
      <t xml:space="preserve">  
</t>
    </r>
    <r>
      <rPr>
        <rFont val="Times New Roman"/>
        <color rgb="FF1155CC"/>
        <sz val="10.0"/>
        <u/>
      </rPr>
      <t>https://sirge.inia.gob.pe/consulta?type=8&amp;var=1&amp;col=4</t>
    </r>
    <r>
      <rPr>
        <rFont val="Times New Roman"/>
        <sz val="10.0"/>
      </rPr>
      <t xml:space="preserve"> </t>
    </r>
  </si>
  <si>
    <t>Amazonas</t>
  </si>
  <si>
    <t>elisabet.cespedes@unsaac.edu.pe</t>
  </si>
  <si>
    <t>Chachapoyas</t>
  </si>
  <si>
    <r>
      <rPr>
        <rFont val="Times New Roman"/>
        <color rgb="FF000000"/>
        <sz val="9.0"/>
      </rPr>
      <t>Olluco (</t>
    </r>
    <r>
      <rPr>
        <rFont val="Times New Roman"/>
        <color rgb="FF000000"/>
        <sz val="9.0"/>
      </rPr>
      <t>Ullucus tuberosus</t>
    </r>
    <r>
      <rPr>
        <rFont val="Times New Roman"/>
        <color rgb="FF000000"/>
        <sz val="9.0"/>
      </rPr>
      <t>)</t>
    </r>
  </si>
  <si>
    <t>TITLE-ABS-KEY( Ullucus tuberosus  AND  germplasm )</t>
  </si>
  <si>
    <t>Maywa Blanco Zamalloa</t>
  </si>
  <si>
    <t>variedades</t>
  </si>
  <si>
    <t>campo</t>
  </si>
  <si>
    <t>Catalina Jimenez Aguilar</t>
  </si>
  <si>
    <t>INIA-FAO</t>
  </si>
  <si>
    <t>https://repositorio.inia.gob.pe/server/api/core/bitstreams/06b66d94-b8d6-432c-b29c-42b5db9de9fb/content</t>
  </si>
  <si>
    <t>Email</t>
  </si>
  <si>
    <t>ORCID</t>
  </si>
  <si>
    <t>Conceptualization</t>
  </si>
  <si>
    <t>Data curation</t>
  </si>
  <si>
    <t>Formal analysis</t>
  </si>
  <si>
    <t>Funding acquisition</t>
  </si>
  <si>
    <t>Estación Experimental  Agraria Illpa</t>
  </si>
  <si>
    <t>EEA-ILL</t>
  </si>
  <si>
    <t>Investigation</t>
  </si>
  <si>
    <t>7</t>
  </si>
  <si>
    <t>Methodology</t>
  </si>
  <si>
    <t>Project administration</t>
  </si>
  <si>
    <t xml:space="preserve">Flavio Lozano Isla </t>
  </si>
  <si>
    <t xml:space="preserve">flavio.lozano@untrm.edu.pe </t>
  </si>
  <si>
    <t>Resources</t>
  </si>
  <si>
    <t>Universidad Nacional Toribio Rodríguez de Mendoza de Amazonas</t>
  </si>
  <si>
    <t xml:space="preserve">Chachapoyas </t>
  </si>
  <si>
    <t>Software</t>
  </si>
  <si>
    <t>https://sirge.inia.gob.pe/consulta?type=8&amp;var=7&amp;col=24</t>
  </si>
  <si>
    <t>Supervision</t>
  </si>
  <si>
    <t>Genebank/Institution</t>
  </si>
  <si>
    <t>Species</t>
  </si>
  <si>
    <t>Validation</t>
  </si>
  <si>
    <t>Germplasm Collection</t>
  </si>
  <si>
    <t>Accessions (n)</t>
  </si>
  <si>
    <t>Visualization</t>
  </si>
  <si>
    <t>Characterization Performed</t>
  </si>
  <si>
    <t>Writing – original draft</t>
  </si>
  <si>
    <t>Conservation Method</t>
  </si>
  <si>
    <t>Maria Rosario Elsa Valderrama Valencia</t>
  </si>
  <si>
    <t>Writing – review &amp; editing</t>
  </si>
  <si>
    <t>Year</t>
  </si>
  <si>
    <t>Reference</t>
  </si>
  <si>
    <t>Victor-Hugo Baldera-Chapoñan</t>
  </si>
  <si>
    <t>Arequipa</t>
  </si>
  <si>
    <t>victorhugobalderachaponan@gmail.com</t>
  </si>
  <si>
    <t>Estación Experimental Agraria Amazonas</t>
  </si>
  <si>
    <r>
      <rPr>
        <rFont val="Times New Roman"/>
        <color theme="1"/>
        <sz val="10.0"/>
      </rPr>
      <t>0009-0003-4321-7103</t>
    </r>
  </si>
  <si>
    <t>Accessions</t>
  </si>
  <si>
    <t>x</t>
  </si>
  <si>
    <t>Phenotypic</t>
  </si>
  <si>
    <t>Field</t>
  </si>
  <si>
    <t>June 2026</t>
  </si>
  <si>
    <t>https://sirge.inia.gob.pe/consulta?type=8&amp;var=15&amp;col=51</t>
  </si>
  <si>
    <t xml:space="preserve">Instituto Nacional de Innovación Agraria </t>
  </si>
  <si>
    <t>genebankperu@inia.gob.pe</t>
  </si>
  <si>
    <t>https://sirge.inia.gob.pe/consulta?type=8&amp;var=7&amp;col=25</t>
  </si>
  <si>
    <t>Seed</t>
  </si>
  <si>
    <t>Wagner Meza-Maicelo</t>
  </si>
  <si>
    <t>Phenotypic, Biochemical</t>
  </si>
  <si>
    <t>wagner.meza.epg@untrm.edu.pe</t>
  </si>
  <si>
    <t>0009-0003-3556-3866</t>
  </si>
  <si>
    <t>campo, semilla</t>
  </si>
  <si>
    <t>Phenotypic, Genomic</t>
  </si>
  <si>
    <t>https://sirge.inia.gob.pe/consulta?type=8&amp;var=2&amp;col=5</t>
  </si>
  <si>
    <t>Seed and Field</t>
  </si>
  <si>
    <t>Junín</t>
  </si>
  <si>
    <t>Huancayo</t>
  </si>
  <si>
    <t>El Tambo</t>
  </si>
  <si>
    <t>Estación Experimental Agraria Santa Ana</t>
  </si>
  <si>
    <t>Yoel Diaz-Saucedo</t>
  </si>
  <si>
    <t>EEA-SA</t>
  </si>
  <si>
    <r>
      <rPr>
        <rFont val="Times New Roman"/>
        <sz val="10.0"/>
        <u/>
      </rPr>
      <t>7576425921@untrm.edu.pe</t>
    </r>
  </si>
  <si>
    <r>
      <rPr>
        <rFont val="Times New Roman"/>
        <i/>
        <color theme="1"/>
        <sz val="10.0"/>
      </rPr>
      <t>Lepidium meyenii</t>
    </r>
    <r>
      <rPr>
        <rFont val="Times New Roman"/>
        <color theme="1"/>
        <sz val="10.0"/>
      </rPr>
      <t xml:space="preserve"> </t>
    </r>
  </si>
  <si>
    <t>https://sirge.inia.gob.pe/consulta?type=8&amp;var=12&amp;col=32</t>
  </si>
  <si>
    <t>0009-0003-9765-136X</t>
  </si>
  <si>
    <t xml:space="preserve">
Field and in vitro</t>
  </si>
  <si>
    <r>
      <rPr>
        <rFont val="Times New Roman"/>
        <sz val="10.0"/>
        <u/>
      </rPr>
      <t>i.manrique@cgiar.org</t>
    </r>
  </si>
  <si>
    <t>Field and in vitro</t>
  </si>
  <si>
    <r>
      <rPr>
        <rFont val="Times New Roman"/>
        <color rgb="FF1155CC"/>
        <sz val="10.0"/>
        <u/>
      </rPr>
      <t>https://repositorio.inia.gob.pe/items/995defe3-7afe-48ca-98b6-d053e11014e9</t>
    </r>
    <r>
      <rPr>
        <rFont val="Times New Roman"/>
        <color rgb="FF1F1F1F"/>
        <sz val="10.0"/>
      </rPr>
      <t xml:space="preserve">  
</t>
    </r>
    <r>
      <rPr>
        <rFont val="Times New Roman"/>
        <color rgb="FF1155CC"/>
        <sz val="10.0"/>
        <u/>
      </rPr>
      <t>https://sirge.inia.gob.pe/consulta?type=8&amp;var=1&amp;col=4</t>
    </r>
    <r>
      <rPr>
        <rFont val="Times New Roman"/>
        <sz val="10.0"/>
      </rPr>
      <t xml:space="preserve"> </t>
    </r>
  </si>
  <si>
    <t>https://sirge.inia.gob.pe/consulta?type=8&amp;var=2&amp;col=6</t>
  </si>
  <si>
    <t>German De La Cruz</t>
  </si>
  <si>
    <r>
      <rPr>
        <rFont val="Times New Roman"/>
        <sz val="10.0"/>
        <u/>
      </rPr>
      <t>german.delacruz@unsch.edu.pe</t>
    </r>
  </si>
  <si>
    <t>Varieties</t>
  </si>
  <si>
    <t>0000-0001-7618-799X</t>
  </si>
  <si>
    <t>EEA-AMZ</t>
  </si>
  <si>
    <t>accesiones</t>
  </si>
  <si>
    <t>https://sirge.inia.gob.pe/consulta?type=8&amp;var=1&amp;col=4</t>
  </si>
  <si>
    <t>Aquilino Alvarez-Caceres</t>
  </si>
  <si>
    <r>
      <rPr>
        <rFont val="Times New Roman"/>
        <sz val="10.0"/>
        <u/>
      </rPr>
      <t>aquilino.alvarez@unsaac.edu.pe</t>
    </r>
  </si>
  <si>
    <t>0000-0002-7699-692X</t>
  </si>
  <si>
    <t>Maywa Cecilia Blanco-Zamalloa</t>
  </si>
  <si>
    <r>
      <rPr>
        <rFont val="Times New Roman"/>
        <sz val="10.0"/>
        <u/>
      </rPr>
      <t>maywa.blanco@unsaac.edu.pe</t>
    </r>
  </si>
  <si>
    <t>https://sirge.inia.gob.pe/consulta?type=8&amp;var=12&amp;col=33</t>
  </si>
  <si>
    <t>0000-0002-3927-8769</t>
  </si>
  <si>
    <r>
      <rPr>
        <rFont val="Times New Roman"/>
        <i/>
        <color theme="1"/>
        <sz val="10.0"/>
      </rPr>
      <t>Lepidium meyenii</t>
    </r>
    <r>
      <rPr>
        <rFont val="Times New Roman"/>
        <color theme="1"/>
        <sz val="10.0"/>
      </rPr>
      <t xml:space="preserve"> </t>
    </r>
  </si>
  <si>
    <t>Catalina Jimenez-Aguilar</t>
  </si>
  <si>
    <r>
      <rPr>
        <rFont val="Times New Roman"/>
        <sz val="10.0"/>
        <u/>
      </rPr>
      <t>catalina.jimenez@unsaac.edu.pe</t>
    </r>
  </si>
  <si>
    <t>UNSAAC</t>
  </si>
  <si>
    <t>Maria Rosario Elsa Valderrama-Valencia</t>
  </si>
  <si>
    <r>
      <rPr>
        <rFont val="Times New Roman"/>
        <sz val="10.0"/>
        <u/>
      </rPr>
      <t>mvalderramav@unsa.edu.pe</t>
    </r>
  </si>
  <si>
    <t>semilla</t>
  </si>
  <si>
    <t>Lack of adequate infrastructure</t>
  </si>
  <si>
    <t>0000-0002-1515-3195</t>
  </si>
  <si>
    <t>Yes</t>
  </si>
  <si>
    <t>Phenotypic, Genomic, Biochemical</t>
  </si>
  <si>
    <r>
      <rPr>
        <rFont val="Times New Roman"/>
        <sz val="10.0"/>
        <u/>
      </rPr>
      <t>amhmujica@yahoo.com</t>
    </r>
  </si>
  <si>
    <t>0000-0002-7013-8780</t>
  </si>
  <si>
    <t xml:space="preserve">La Molina </t>
  </si>
  <si>
    <t>Jorge Alberto Condori-Apfata</t>
  </si>
  <si>
    <r>
      <rPr>
        <rFont val="Times New Roman"/>
        <sz val="10.0"/>
        <u/>
      </rPr>
      <t>jorge.condori@untrm.edu.pe</t>
    </r>
  </si>
  <si>
    <t>CIP</t>
  </si>
  <si>
    <t>0000-0001-9270-1733</t>
  </si>
  <si>
    <t>Fenotípica, Genómica</t>
  </si>
  <si>
    <t>Insufficient financial resources, Technical limitations or insufficient staff training, Limited access to genetic material,Risk of loss of genetic diversity</t>
  </si>
  <si>
    <t xml:space="preserve">Jorge Luis Maicelo Quintana </t>
  </si>
  <si>
    <r>
      <rPr>
        <rFont val="Times New Roman"/>
        <sz val="10.0"/>
        <u/>
      </rPr>
      <t>jmaicelo@untrm.edu.pe</t>
    </r>
  </si>
  <si>
    <t>0000-0001-9109-0504</t>
  </si>
  <si>
    <t>Flavio Lozano-Isla</t>
  </si>
  <si>
    <t>0000-0002-0714-669X</t>
  </si>
  <si>
    <t>Fenotípica, Genómica, Bioquimica</t>
  </si>
  <si>
    <t>UNSCH</t>
  </si>
  <si>
    <t>Lack of adequate infrastructure, Insufficient financial resources, Risk of loss of genetic diversity</t>
  </si>
  <si>
    <t>Maybe</t>
  </si>
  <si>
    <t>UNA-PUNO</t>
  </si>
  <si>
    <t>Fenotípica, Bioquimica</t>
  </si>
  <si>
    <t>semilla, campo</t>
  </si>
  <si>
    <t>Lack of adequate infrastructure, Insufficient financial resources, Technical limitations or insufficient staff training, Logistical challenges for distribution or regeneration</t>
  </si>
  <si>
    <t xml:space="preserve">Yes </t>
  </si>
  <si>
    <t>Fenotípica</t>
  </si>
  <si>
    <t>UNTRM</t>
  </si>
  <si>
    <t>Insufficient financial resources</t>
  </si>
  <si>
    <t>Insufficient financial resources, Logistical challenges for distribution or regeneration</t>
  </si>
  <si>
    <t>Insufficient financial resources, Risk of loss of genetic diversity</t>
  </si>
  <si>
    <t>Lack of adequate infrastructure, Insufficient financial resources, Limited access to genetic material</t>
  </si>
  <si>
    <t>UNSA</t>
  </si>
  <si>
    <t xml:space="preserve">semilla </t>
  </si>
  <si>
    <t>Inadequate infrastructure, Insufficient financial resources, Limited access to genetic material, Risk of loss of genetic diversity, Difficulties in documentation and information management,  Logistical challenges for distribution or regeneration</t>
  </si>
</sst>
</file>

<file path=xl/styles.xml><?xml version="1.0" encoding="utf-8"?>
<styleSheet xmlns="http://schemas.openxmlformats.org/spreadsheetml/2006/main" xmlns:x14ac="http://schemas.microsoft.com/office/spreadsheetml/2009/9/ac" xmlns:mc="http://schemas.openxmlformats.org/markup-compatibility/2006">
  <fonts count="28">
    <font>
      <sz val="10.0"/>
      <color rgb="FF000000"/>
      <name val="Arial"/>
      <scheme val="minor"/>
    </font>
    <font>
      <b/>
      <color theme="1"/>
      <name val="Times New Roman"/>
    </font>
    <font>
      <b/>
      <sz val="10.0"/>
      <color theme="1"/>
      <name val="Times New Roman"/>
    </font>
    <font>
      <color theme="1"/>
      <name val="Times New Roman"/>
    </font>
    <font>
      <sz val="10.0"/>
      <color theme="1"/>
      <name val="Times New Roman"/>
    </font>
    <font>
      <color theme="1"/>
      <name val="Arial"/>
    </font>
    <font>
      <color theme="1"/>
      <name val="Arial"/>
      <scheme val="minor"/>
    </font>
    <font>
      <b/>
      <sz val="11.0"/>
      <color theme="1"/>
      <name val="Times New Roman"/>
    </font>
    <font>
      <u/>
      <sz val="10.0"/>
      <color rgb="FF0000FF"/>
      <name val="Times New Roman"/>
    </font>
    <font>
      <sz val="11.0"/>
      <color rgb="FF000000"/>
      <name val="'Times New Roman'"/>
    </font>
    <font>
      <sz val="10.0"/>
      <color rgb="FF0000FF"/>
      <name val="Times New Roman"/>
    </font>
    <font>
      <b/>
      <sz val="10.0"/>
      <color rgb="FF1F1F1F"/>
      <name val="Times New Roman"/>
    </font>
    <font>
      <b/>
      <sz val="9.0"/>
      <color rgb="FF000000"/>
      <name val="Times New Roman"/>
    </font>
    <font>
      <sz val="9.0"/>
      <color rgb="FF000000"/>
      <name val="Times New Roman"/>
    </font>
    <font>
      <b/>
      <i/>
      <color theme="1"/>
      <name val="Times New Roman"/>
    </font>
    <font>
      <i/>
      <sz val="10.0"/>
      <color theme="1"/>
      <name val="Times New Roman"/>
    </font>
    <font>
      <u/>
      <sz val="9.0"/>
      <color rgb="FF000000"/>
      <name val="Times New Roman"/>
    </font>
    <font>
      <u/>
      <sz val="10.0"/>
      <color rgb="FF0000FF"/>
      <name val="Times New Roman"/>
    </font>
    <font>
      <u/>
      <sz val="9.0"/>
      <color rgb="FF000000"/>
      <name val="Times New Roman"/>
    </font>
    <font>
      <u/>
      <sz val="10.0"/>
      <color rgb="FF0000FF"/>
      <name val="Times New Roman"/>
    </font>
    <font>
      <i/>
      <sz val="10.0"/>
      <color rgb="FF212529"/>
      <name val="Times New Roman"/>
    </font>
    <font>
      <sz val="11.0"/>
      <color theme="1"/>
      <name val="Times New Roman"/>
    </font>
    <font>
      <u/>
      <sz val="10.0"/>
      <color rgb="FF0000FF"/>
      <name val="Times New Roman"/>
    </font>
    <font>
      <u/>
      <sz val="10.0"/>
      <color theme="1"/>
      <name val="Times New Roman"/>
    </font>
    <font>
      <u/>
      <sz val="10.0"/>
      <color rgb="FF0000FF"/>
      <name val="Times New Roman"/>
    </font>
    <font>
      <i/>
      <color theme="1"/>
      <name val="Times New Roman"/>
    </font>
    <font>
      <u/>
      <sz val="10.0"/>
      <color rgb="FF0000FF"/>
      <name val="Times New Roman"/>
    </font>
    <font/>
  </fonts>
  <fills count="8">
    <fill>
      <patternFill patternType="none"/>
    </fill>
    <fill>
      <patternFill patternType="lightGray"/>
    </fill>
    <fill>
      <patternFill patternType="solid">
        <fgColor rgb="FFCCCCCC"/>
        <bgColor rgb="FFCCCCCC"/>
      </patternFill>
    </fill>
    <fill>
      <patternFill patternType="solid">
        <fgColor rgb="FFFCE5CD"/>
        <bgColor rgb="FFFCE5CD"/>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8F9FA"/>
        <bgColor rgb="FFF8F9FA"/>
      </patternFill>
    </fill>
  </fills>
  <borders count="5">
    <border/>
    <border>
      <left style="thin">
        <color rgb="FF000000"/>
      </left>
      <right style="thin">
        <color rgb="FF000000"/>
      </right>
      <top style="thin">
        <color rgb="FF000000"/>
      </top>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horizontal="center" shrinkToFit="0" vertical="top" wrapText="1"/>
    </xf>
    <xf borderId="1" fillId="2" fontId="2" numFmtId="0" xfId="0" applyAlignment="1" applyBorder="1" applyFill="1" applyFont="1">
      <alignment horizontal="center" readingOrder="0" shrinkToFit="0" wrapText="1"/>
    </xf>
    <xf borderId="0" fillId="0" fontId="3" numFmtId="0" xfId="0" applyAlignment="1" applyFont="1">
      <alignment horizontal="left" readingOrder="0" shrinkToFit="0" wrapText="1"/>
    </xf>
    <xf borderId="1" fillId="3" fontId="1" numFmtId="0" xfId="0" applyAlignment="1" applyBorder="1" applyFill="1" applyFont="1">
      <alignment horizontal="left" shrinkToFit="0" vertical="top" wrapText="1"/>
    </xf>
    <xf borderId="1" fillId="0" fontId="4" numFmtId="0" xfId="0" applyAlignment="1" applyBorder="1" applyFont="1">
      <alignment horizontal="center" readingOrder="0" shrinkToFit="0" vertical="center" wrapText="1"/>
    </xf>
    <xf borderId="1" fillId="4" fontId="1" numFmtId="0" xfId="0" applyAlignment="1" applyBorder="1" applyFill="1" applyFont="1">
      <alignment horizontal="left" shrinkToFit="0" vertical="top" wrapText="1"/>
    </xf>
    <xf borderId="1" fillId="0" fontId="5" numFmtId="0" xfId="0" applyAlignment="1" applyBorder="1" applyFont="1">
      <alignment horizontal="left" readingOrder="0" shrinkToFit="0" vertical="top" wrapText="1"/>
    </xf>
    <xf borderId="1" fillId="0" fontId="5" numFmtId="0" xfId="0" applyAlignment="1" applyBorder="1" applyFont="1">
      <alignment horizontal="left" shrinkToFit="0" vertical="top" wrapText="1"/>
    </xf>
    <xf borderId="0" fillId="0" fontId="6" numFmtId="0" xfId="0" applyAlignment="1" applyFont="1">
      <alignment shrinkToFit="0" wrapText="1"/>
    </xf>
    <xf borderId="0" fillId="0" fontId="7" numFmtId="0" xfId="0" applyAlignment="1" applyFont="1">
      <alignment horizontal="center" readingOrder="0" shrinkToFit="0" vertical="bottom" wrapText="1"/>
    </xf>
    <xf borderId="1" fillId="0" fontId="8" numFmtId="0" xfId="0" applyAlignment="1" applyBorder="1" applyFont="1">
      <alignment horizontal="center" readingOrder="0" shrinkToFit="0" wrapText="1"/>
    </xf>
    <xf borderId="0" fillId="0" fontId="7" numFmtId="0" xfId="0" applyAlignment="1" applyFont="1">
      <alignment readingOrder="0" shrinkToFit="0" vertical="bottom" wrapText="1"/>
    </xf>
    <xf borderId="0" fillId="0" fontId="9" numFmtId="0" xfId="0" applyAlignment="1" applyFont="1">
      <alignment horizontal="center" readingOrder="0" shrinkToFit="0" vertical="center" wrapText="1"/>
    </xf>
    <xf borderId="0" fillId="0" fontId="9" numFmtId="0" xfId="0" applyAlignment="1" applyFont="1">
      <alignment horizontal="left" readingOrder="0" shrinkToFit="0" vertical="center" wrapText="1"/>
    </xf>
    <xf borderId="1" fillId="0" fontId="10" numFmtId="0" xfId="0" applyAlignment="1" applyBorder="1" applyFont="1">
      <alignment horizontal="center" readingOrder="0" shrinkToFit="0" wrapText="1"/>
    </xf>
    <xf borderId="1" fillId="0" fontId="2" numFmtId="0" xfId="0" applyAlignment="1" applyBorder="1" applyFont="1">
      <alignment horizontal="center" readingOrder="0" shrinkToFit="0" vertical="center" wrapText="1"/>
    </xf>
    <xf borderId="1" fillId="0" fontId="1" numFmtId="0" xfId="0" applyAlignment="1" applyBorder="1" applyFont="1">
      <alignment horizontal="center" readingOrder="0"/>
    </xf>
    <xf borderId="1" fillId="0" fontId="11" numFmtId="0" xfId="0" applyAlignment="1" applyBorder="1" applyFont="1">
      <alignment horizontal="center" readingOrder="0" shrinkToFit="0" vertical="center" wrapText="1"/>
    </xf>
    <xf borderId="1" fillId="0" fontId="4" numFmtId="0" xfId="0" applyAlignment="1" applyBorder="1" applyFont="1">
      <alignment horizontal="center" readingOrder="0" shrinkToFit="0" wrapText="1"/>
    </xf>
    <xf borderId="2" fillId="0" fontId="12" numFmtId="0" xfId="0" applyAlignment="1" applyBorder="1" applyFont="1">
      <alignment horizontal="center" readingOrder="0" vertical="center"/>
    </xf>
    <xf borderId="1" fillId="0" fontId="1" numFmtId="0" xfId="0" applyAlignment="1" applyBorder="1" applyFont="1">
      <alignment horizontal="center" readingOrder="0" shrinkToFit="0" wrapText="0"/>
    </xf>
    <xf borderId="3" fillId="0" fontId="13" numFmtId="0" xfId="0" applyAlignment="1" applyBorder="1" applyFont="1">
      <alignment horizontal="center" readingOrder="0" vertical="center"/>
    </xf>
    <xf borderId="1" fillId="0" fontId="1" numFmtId="0" xfId="0" applyAlignment="1" applyBorder="1" applyFont="1">
      <alignment horizontal="center" readingOrder="0" shrinkToFit="0" wrapText="0"/>
    </xf>
    <xf borderId="3" fillId="5" fontId="13" numFmtId="0" xfId="0" applyAlignment="1" applyBorder="1" applyFill="1" applyFont="1">
      <alignment horizontal="center" readingOrder="0" vertical="center"/>
    </xf>
    <xf borderId="0" fillId="0" fontId="13" numFmtId="0" xfId="0" applyAlignment="1" applyFont="1">
      <alignment horizontal="center" readingOrder="0"/>
    </xf>
    <xf borderId="1" fillId="0" fontId="14" numFmtId="0" xfId="0" applyAlignment="1" applyBorder="1" applyFont="1">
      <alignment horizontal="center" readingOrder="0" shrinkToFit="0" wrapText="0"/>
    </xf>
    <xf borderId="1" fillId="0" fontId="3" numFmtId="0" xfId="0" applyAlignment="1" applyBorder="1" applyFont="1">
      <alignment horizontal="center" shrinkToFit="0" vertical="bottom" wrapText="1"/>
    </xf>
    <xf borderId="1" fillId="0" fontId="3" numFmtId="0" xfId="0" applyAlignment="1" applyBorder="1" applyFont="1">
      <alignment horizontal="center" readingOrder="0"/>
    </xf>
    <xf borderId="1" fillId="0" fontId="15" numFmtId="0" xfId="0" applyAlignment="1" applyBorder="1" applyFont="1">
      <alignment horizontal="center" readingOrder="0" shrinkToFit="0" vertical="center" wrapText="1"/>
    </xf>
    <xf borderId="0" fillId="0" fontId="14" numFmtId="0" xfId="0" applyAlignment="1" applyFont="1">
      <alignment horizontal="center" readingOrder="0" shrinkToFit="0" wrapText="0"/>
    </xf>
    <xf borderId="1" fillId="0" fontId="3" numFmtId="0" xfId="0" applyAlignment="1" applyBorder="1" applyFont="1">
      <alignment horizontal="center" shrinkToFit="0" wrapText="0"/>
    </xf>
    <xf borderId="0" fillId="0" fontId="13" numFmtId="0" xfId="0" applyAlignment="1" applyFont="1">
      <alignment horizontal="center" readingOrder="0" shrinkToFit="0" wrapText="1"/>
    </xf>
    <xf borderId="0" fillId="0" fontId="13" numFmtId="0" xfId="0" applyAlignment="1" applyFont="1">
      <alignment horizontal="center" readingOrder="0" vertical="bottom"/>
    </xf>
    <xf borderId="0" fillId="0" fontId="16" numFmtId="0" xfId="0" applyAlignment="1" applyFont="1">
      <alignment horizontal="center" readingOrder="0" vertical="bottom"/>
    </xf>
    <xf borderId="0" fillId="0" fontId="3" numFmtId="0" xfId="0" applyAlignment="1" applyFont="1">
      <alignment horizontal="center" shrinkToFit="0" wrapText="0"/>
    </xf>
    <xf borderId="1" fillId="0" fontId="17" numFmtId="0" xfId="0" applyAlignment="1" applyBorder="1" applyFont="1">
      <alignment horizontal="center" readingOrder="0" shrinkToFit="0" vertical="center" wrapText="1"/>
    </xf>
    <xf borderId="1" fillId="0" fontId="3" numFmtId="0" xfId="0" applyAlignment="1" applyBorder="1" applyFont="1">
      <alignment horizontal="center" readingOrder="0" shrinkToFit="0" wrapText="0"/>
    </xf>
    <xf borderId="1" fillId="0" fontId="3" numFmtId="0" xfId="0" applyAlignment="1" applyBorder="1" applyFont="1">
      <alignment horizontal="center" vertical="bottom"/>
    </xf>
    <xf borderId="0" fillId="0" fontId="18" numFmtId="0" xfId="0" applyAlignment="1" applyFont="1">
      <alignment horizontal="center" readingOrder="0"/>
    </xf>
    <xf borderId="1" fillId="0" fontId="4" numFmtId="0" xfId="0" applyAlignment="1" applyBorder="1" applyFont="1">
      <alignment horizontal="center" readingOrder="0"/>
    </xf>
    <xf borderId="1" fillId="0" fontId="10" numFmtId="0" xfId="0" applyAlignment="1" applyBorder="1" applyFont="1">
      <alignment horizontal="center" readingOrder="0"/>
    </xf>
    <xf borderId="4" fillId="0" fontId="13" numFmtId="0" xfId="0" applyAlignment="1" applyBorder="1" applyFont="1">
      <alignment horizontal="center" readingOrder="0"/>
    </xf>
    <xf borderId="4" fillId="0" fontId="13" numFmtId="0" xfId="0" applyAlignment="1" applyBorder="1" applyFont="1">
      <alignment horizontal="center" readingOrder="0" shrinkToFit="0" wrapText="1"/>
    </xf>
    <xf borderId="1" fillId="0" fontId="19" numFmtId="0" xfId="0" applyAlignment="1" applyBorder="1" applyFont="1">
      <alignment horizontal="center" readingOrder="0" shrinkToFit="0" vertical="center" wrapText="1"/>
    </xf>
    <xf borderId="1" fillId="6" fontId="2" numFmtId="49" xfId="0" applyAlignment="1" applyBorder="1" applyFill="1" applyFont="1" applyNumberFormat="1">
      <alignment horizontal="center" vertical="bottom"/>
    </xf>
    <xf borderId="1" fillId="0" fontId="3" numFmtId="0" xfId="0" applyAlignment="1" applyBorder="1" applyFont="1">
      <alignment horizontal="center" shrinkToFit="0" vertical="bottom" wrapText="0"/>
    </xf>
    <xf quotePrefix="1" borderId="1" fillId="0" fontId="3" numFmtId="0" xfId="0" applyAlignment="1" applyBorder="1" applyFont="1">
      <alignment horizontal="center" readingOrder="0" shrinkToFit="0" wrapText="0"/>
    </xf>
    <xf borderId="2" fillId="0" fontId="2" numFmtId="0" xfId="0" applyAlignment="1" applyBorder="1" applyFont="1">
      <alignment horizontal="center" readingOrder="0" shrinkToFit="0" vertical="center" wrapText="1"/>
    </xf>
    <xf borderId="2" fillId="0" fontId="1" numFmtId="0" xfId="0" applyAlignment="1" applyBorder="1" applyFont="1">
      <alignment horizontal="center" readingOrder="0" shrinkToFit="0" vertical="center" wrapText="1"/>
    </xf>
    <xf borderId="2" fillId="0" fontId="11" numFmtId="0" xfId="0" applyAlignment="1" applyBorder="1" applyFont="1">
      <alignment horizontal="center" readingOrder="0" shrinkToFit="0" vertical="center" wrapText="1"/>
    </xf>
    <xf borderId="1" fillId="0" fontId="4" numFmtId="0" xfId="0" applyAlignment="1" applyBorder="1" applyFont="1">
      <alignment horizontal="left" readingOrder="0"/>
    </xf>
    <xf borderId="0" fillId="5" fontId="3" numFmtId="0" xfId="0" applyAlignment="1" applyFont="1">
      <alignment horizontal="center" shrinkToFit="0" vertical="center" wrapText="1"/>
    </xf>
    <xf borderId="0" fillId="0" fontId="4" numFmtId="0" xfId="0" applyAlignment="1" applyFont="1">
      <alignment horizontal="center" readingOrder="0" shrinkToFit="0" vertical="center" wrapText="1"/>
    </xf>
    <xf borderId="1" fillId="0" fontId="4" numFmtId="0" xfId="0" applyAlignment="1" applyBorder="1" applyFont="1">
      <alignment horizontal="left" readingOrder="0"/>
    </xf>
    <xf borderId="0" fillId="0" fontId="2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1" fillId="0" fontId="4" numFmtId="0" xfId="0" applyAlignment="1" applyBorder="1" applyFont="1">
      <alignment readingOrder="0" vertical="bottom"/>
    </xf>
    <xf borderId="0" fillId="0" fontId="21" numFmtId="0" xfId="0" applyAlignment="1" applyFont="1">
      <alignment horizontal="center" readingOrder="0"/>
    </xf>
    <xf borderId="1" fillId="0" fontId="4" numFmtId="0" xfId="0" applyAlignment="1" applyBorder="1" applyFont="1">
      <alignment vertical="bottom"/>
    </xf>
    <xf borderId="1" fillId="0" fontId="3" numFmtId="0" xfId="0" applyAlignment="1" applyBorder="1" applyFont="1">
      <alignment horizontal="center" shrinkToFit="0" wrapText="1"/>
    </xf>
    <xf borderId="1" fillId="0" fontId="3" numFmtId="0" xfId="0" applyAlignment="1" applyBorder="1" applyFont="1">
      <alignment horizontal="center" readingOrder="0" shrinkToFit="0" wrapText="1"/>
    </xf>
    <xf borderId="0" fillId="0" fontId="22" numFmtId="0" xfId="0" applyAlignment="1" applyFont="1">
      <alignment horizontal="center" readingOrder="0" shrinkToFit="0" vertical="center" wrapText="1"/>
    </xf>
    <xf borderId="0" fillId="0" fontId="15"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0" xfId="0" applyAlignment="1" applyFont="1">
      <alignment horizontal="center" readingOrder="0"/>
    </xf>
    <xf borderId="1" fillId="0" fontId="23" numFmtId="0" xfId="0" applyAlignment="1" applyBorder="1" applyFont="1">
      <alignment horizontal="left" readingOrder="0"/>
    </xf>
    <xf borderId="0" fillId="0" fontId="3" numFmtId="0" xfId="0" applyAlignment="1" applyFont="1">
      <alignment horizontal="center" shrinkToFit="0" vertical="center" wrapText="1"/>
    </xf>
    <xf borderId="0" fillId="7" fontId="3" numFmtId="0" xfId="0" applyAlignment="1" applyFill="1" applyFont="1">
      <alignment horizontal="center" shrinkToFit="0" vertical="center" wrapText="1"/>
    </xf>
    <xf borderId="1" fillId="0" fontId="24" numFmtId="0" xfId="0" applyAlignment="1" applyBorder="1" applyFont="1">
      <alignment horizontal="left" readingOrder="0"/>
    </xf>
    <xf borderId="1" fillId="0" fontId="4" numFmtId="0" xfId="0" applyAlignment="1" applyBorder="1" applyFont="1">
      <alignment horizontal="left" readingOrder="0" shrinkToFit="0" wrapText="1"/>
    </xf>
    <xf borderId="1" fillId="0" fontId="4" numFmtId="0" xfId="0" applyAlignment="1" applyBorder="1" applyFont="1">
      <alignment horizontal="center" shrinkToFit="0" vertical="center" wrapText="1"/>
    </xf>
    <xf borderId="1" fillId="0" fontId="3" numFmtId="0" xfId="0" applyAlignment="1" applyBorder="1" applyFont="1">
      <alignment horizontal="center"/>
    </xf>
    <xf borderId="1" fillId="0" fontId="25" numFmtId="0" xfId="0" applyAlignment="1" applyBorder="1" applyFont="1">
      <alignment horizontal="center" readingOrder="0" vertical="center"/>
    </xf>
    <xf borderId="1" fillId="0" fontId="4" numFmtId="0" xfId="0" applyAlignment="1" applyBorder="1" applyFont="1">
      <alignment horizontal="left" vertical="bottom"/>
    </xf>
    <xf borderId="1" fillId="0" fontId="25"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26" numFmtId="0" xfId="0" applyAlignment="1" applyFont="1">
      <alignment horizontal="center" readingOrder="0" shrinkToFit="0" vertical="center" wrapText="1"/>
    </xf>
    <xf borderId="1" fillId="0" fontId="3" numFmtId="0" xfId="0" applyAlignment="1" applyBorder="1" applyFont="1">
      <alignment horizontal="center" shrinkToFit="0" vertical="bottom" wrapText="0"/>
    </xf>
    <xf borderId="1" fillId="0" fontId="20"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0" fillId="0" fontId="25" numFmtId="0" xfId="0" applyAlignment="1" applyFont="1">
      <alignment horizontal="center" readingOrder="0" shrinkToFit="0" vertical="center" wrapText="1"/>
    </xf>
    <xf borderId="0" fillId="0" fontId="4" numFmtId="0" xfId="0" applyAlignment="1" applyFont="1">
      <alignment horizontal="center" shrinkToFit="0" vertical="center" wrapText="1"/>
    </xf>
    <xf borderId="4" fillId="0" fontId="27" numFmtId="0" xfId="0" applyBorder="1" applyFont="1"/>
    <xf borderId="4" fillId="0" fontId="15"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1"/>
    </xf>
    <xf borderId="4" fillId="0" fontId="4"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1" fillId="0" fontId="4" numFmtId="0" xfId="0" applyAlignment="1" applyBorder="1" applyFont="1">
      <alignment horizontal="left" readingOrder="0" vertical="bottom"/>
    </xf>
    <xf borderId="1" fillId="0" fontId="3" numFmtId="0" xfId="0" applyAlignment="1" applyBorder="1" applyFont="1">
      <alignment horizontal="center" readingOrder="0" shrinkToFit="0" vertical="bottom" wrapText="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3">
    <tableStyle count="2" pivot="0" name="STable-2-style">
      <tableStyleElement dxfId="1" type="firstRowStripe"/>
      <tableStyleElement dxfId="2" type="secondRowStripe"/>
    </tableStyle>
    <tableStyle count="2" pivot="0" name="STable-2-style 2">
      <tableStyleElement dxfId="2" type="firstRowStripe"/>
      <tableStyleElement dxfId="1" type="secondRowStripe"/>
    </tableStyle>
    <tableStyle count="2" pivot="0" name="STable-2-style 3">
      <tableStyleElement dxfId="1" type="firstRowStripe"/>
      <tableStyleElement dxfId="2" type="secondRowStripe"/>
    </tableStyle>
    <tableStyle count="2" pivot="0" name="STable-2-style 4">
      <tableStyleElement dxfId="1" type="firstRowStripe"/>
      <tableStyleElement dxfId="2" type="secondRowStripe"/>
    </tableStyle>
    <tableStyle count="2" pivot="0" name="STable-2-style 5">
      <tableStyleElement dxfId="1" type="firstRowStripe"/>
      <tableStyleElement dxfId="2" type="secondRowStripe"/>
    </tableStyle>
    <tableStyle count="2" pivot="0" name="STable-2-style 6">
      <tableStyleElement dxfId="1" type="firstRowStripe"/>
      <tableStyleElement dxfId="2" type="secondRowStripe"/>
    </tableStyle>
    <tableStyle count="2" pivot="0" name="STable-2-style 7">
      <tableStyleElement dxfId="2" type="firstRowStripe"/>
      <tableStyleElement dxfId="1" type="secondRowStripe"/>
    </tableStyle>
    <tableStyle count="2" pivot="0" name="STable-2-style 8">
      <tableStyleElement dxfId="2" type="firstRowStripe"/>
      <tableStyleElement dxfId="1" type="secondRowStripe"/>
    </tableStyle>
    <tableStyle count="2" pivot="0" name="STable-2-style 9">
      <tableStyleElement dxfId="2" type="firstRowStripe"/>
      <tableStyleElement dxfId="1" type="secondRowStripe"/>
    </tableStyle>
    <tableStyle count="2" pivot="0" name="STable-2-style 10">
      <tableStyleElement dxfId="2" type="firstRowStripe"/>
      <tableStyleElement dxfId="1" type="secondRowStripe"/>
    </tableStyle>
    <tableStyle count="2" pivot="0" name="STable-2-style 11">
      <tableStyleElement dxfId="1" type="firstRowStripe"/>
      <tableStyleElement dxfId="2" type="secondRowStripe"/>
    </tableStyle>
    <tableStyle count="2" pivot="0" name="fb-style">
      <tableStyleElement dxfId="1" type="firstRowStripe"/>
      <tableStyleElement dxfId="2" type="secondRowStripe"/>
    </tableStyle>
    <tableStyle count="2" pivot="0" name="Copia de emergentes-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C2" displayName="Table_1" name="Table_1" id="1">
  <tableColumns count="3">
    <tableColumn name="Column1" id="1"/>
    <tableColumn name="Column2" id="2"/>
    <tableColumn name="Column3" id="3"/>
  </tableColumns>
  <tableStyleInfo name="STable-2-style" showColumnStripes="0" showFirstColumn="1" showLastColumn="1" showRowStripes="1"/>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able-2-style 2" showColumnStripes="0" showFirstColumn="1" showLastColumn="1" showRowStripes="1"/>
</table>
</file>

<file path=xl/tables/table3.xml><?xml version="1.0" encoding="utf-8"?>
<table xmlns="http://schemas.openxmlformats.org/spreadsheetml/2006/main" headerRowCount="0" ref="A4:C4" displayName="Table_3" name="Table_3" id="3">
  <tableColumns count="3">
    <tableColumn name="Column1" id="1"/>
    <tableColumn name="Column2" id="2"/>
    <tableColumn name="Column3" id="3"/>
  </tableColumns>
  <tableStyleInfo name="STable-2-style 3" showColumnStripes="0" showFirstColumn="1" showLastColumn="1" showRowStripes="1"/>
</table>
</file>

<file path=xl/tables/table4.xml><?xml version="1.0" encoding="utf-8"?>
<table xmlns="http://schemas.openxmlformats.org/spreadsheetml/2006/main" headerRowCount="0" ref="A5:C5" displayName="Table_4" name="Table_4" id="4">
  <tableColumns count="3">
    <tableColumn name="Column1" id="1"/>
    <tableColumn name="Column2" id="2"/>
    <tableColumn name="Column3" id="3"/>
  </tableColumns>
  <tableStyleInfo name="STable-2-style 4" showColumnStripes="0" showFirstColumn="1" showLastColumn="1" showRowStripes="1"/>
</table>
</file>

<file path=xl/tables/table5.xml><?xml version="1.0" encoding="utf-8"?>
<table xmlns="http://schemas.openxmlformats.org/spreadsheetml/2006/main" headerRowCount="0" ref="A6:C6" displayName="Table_5" name="Table_5" id="5">
  <tableColumns count="3">
    <tableColumn name="Column1" id="1"/>
    <tableColumn name="Column2" id="2"/>
    <tableColumn name="Column3" id="3"/>
  </tableColumns>
  <tableStyleInfo name="STable-2-style 5" showColumnStripes="0" showFirstColumn="1" showLastColumn="1" showRowStripes="1"/>
</table>
</file>

<file path=xl/tables/table6.xml><?xml version="1.0" encoding="utf-8"?>
<table xmlns="http://schemas.openxmlformats.org/spreadsheetml/2006/main" headerRowCount="0" ref="A7:C7" displayName="Table_6" name="Table_6" id="6">
  <tableColumns count="3">
    <tableColumn name="Column1" id="1"/>
    <tableColumn name="Column2" id="2"/>
    <tableColumn name="Column3" id="3"/>
  </tableColumns>
  <tableStyleInfo name="STable-2-style 6" showColumnStripes="0" showFirstColumn="1" showLastColumn="1" showRowStripes="1"/>
</table>
</file>

<file path=xl/tables/table7.xml><?xml version="1.0" encoding="utf-8"?>
<table xmlns="http://schemas.openxmlformats.org/spreadsheetml/2006/main" headerRowCount="0" ref="A8:C8" displayName="Table_7" name="Table_7" id="7">
  <tableColumns count="3">
    <tableColumn name="Column1" id="1"/>
    <tableColumn name="Column2" id="2"/>
    <tableColumn name="Column3" id="3"/>
  </tableColumns>
  <tableStyleInfo name="STable-2-style 7" showColumnStripes="0" showFirstColumn="1" showLastColumn="1" showRowStripes="1"/>
</table>
</file>

<file path=xl/tables/table8.xml><?xml version="1.0" encoding="utf-8"?>
<table xmlns="http://schemas.openxmlformats.org/spreadsheetml/2006/main" headerRowCount="0" ref="A9:C9" displayName="Table_8" name="Table_8" id="8">
  <tableColumns count="3">
    <tableColumn name="Column1" id="1"/>
    <tableColumn name="Column2" id="2"/>
    <tableColumn name="Column3" id="3"/>
  </tableColumns>
  <tableStyleInfo name="STable-2-style 8" showColumnStripes="0" showFirstColumn="1" showLastColumn="1" showRowStripes="1"/>
</table>
</file>

<file path=xl/tables/table9.xml><?xml version="1.0" encoding="utf-8"?>
<table xmlns="http://schemas.openxmlformats.org/spreadsheetml/2006/main" headerRowCount="0" ref="A11:C11" displayName="Table_9" name="Table_9" id="9">
  <tableColumns count="3">
    <tableColumn name="Column1" id="1"/>
    <tableColumn name="Column2" id="2"/>
    <tableColumn name="Column3" id="3"/>
  </tableColumns>
  <tableStyleInfo name="STable-2-style 9" showColumnStripes="0" showFirstColumn="1" showLastColumn="1" showRowStripes="1"/>
</table>
</file>

<file path=xl/tables/table10.xml><?xml version="1.0" encoding="utf-8"?>
<table xmlns="http://schemas.openxmlformats.org/spreadsheetml/2006/main" headerRowCount="0" ref="A13:C13" displayName="Table_10" name="Table_10" id="10">
  <tableColumns count="3">
    <tableColumn name="Column1" id="1"/>
    <tableColumn name="Column2" id="2"/>
    <tableColumn name="Column3" id="3"/>
  </tableColumns>
  <tableStyleInfo name="STable-2-style 10" showColumnStripes="0" showFirstColumn="1" showLastColumn="1" showRowStripes="1"/>
</table>
</file>

<file path=xl/tables/table11.xml><?xml version="1.0" encoding="utf-8"?>
<table xmlns="http://schemas.openxmlformats.org/spreadsheetml/2006/main" headerRowCount="0" ref="A14:C16" displayName="Table_11" name="Table_11" id="11">
  <tableColumns count="3">
    <tableColumn name="Column1" id="1"/>
    <tableColumn name="Column2" id="2"/>
    <tableColumn name="Column3" id="3"/>
  </tableColumns>
  <tableStyleInfo name="STable-2-style 11" showColumnStripes="0" showFirstColumn="1" showLastColumn="1" showRowStripes="1"/>
</table>
</file>

<file path=xl/tables/table12.xml><?xml version="1.0" encoding="utf-8"?>
<table xmlns="http://schemas.openxmlformats.org/spreadsheetml/2006/main" headerRowCount="0" ref="A11:S15" displayName="Table_12" name="Table_12" id="12">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fb-style" showColumnStripes="0" showFirstColumn="1" showLastColumn="1" showRowStripes="1"/>
</table>
</file>

<file path=xl/tables/table13.xml><?xml version="1.0" encoding="utf-8"?>
<table xmlns="http://schemas.openxmlformats.org/spreadsheetml/2006/main" headerRowCount="0" ref="A9" displayName="Table_13" name="Table_13" id="13">
  <tableColumns count="1">
    <tableColumn name="Column1" id="1"/>
  </tableColumns>
  <tableStyleInfo name="Copia de emergent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gob.pe/institucion/inia/funcionarios/101592-dina-lida-gutierrez-reynos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1" Type="http://schemas.openxmlformats.org/officeDocument/2006/relationships/table" Target="../tables/table7.xml"/><Relationship Id="rId30" Type="http://schemas.openxmlformats.org/officeDocument/2006/relationships/table" Target="../tables/table6.xml"/><Relationship Id="rId11" Type="http://schemas.openxmlformats.org/officeDocument/2006/relationships/hyperlink" Target="https://sirge.inia.gob.pe/consulta?type=8&amp;var=12&amp;col=33" TargetMode="External"/><Relationship Id="rId33" Type="http://schemas.openxmlformats.org/officeDocument/2006/relationships/table" Target="../tables/table9.xml"/><Relationship Id="rId10" Type="http://schemas.openxmlformats.org/officeDocument/2006/relationships/hyperlink" Target="https://sirge.inia.gob.pe/consulta?type=8&amp;var=15&amp;col=51" TargetMode="External"/><Relationship Id="rId32" Type="http://schemas.openxmlformats.org/officeDocument/2006/relationships/table" Target="../tables/table8.xml"/><Relationship Id="rId13" Type="http://schemas.openxmlformats.org/officeDocument/2006/relationships/drawing" Target="../drawings/drawing4.xml"/><Relationship Id="rId35" Type="http://schemas.openxmlformats.org/officeDocument/2006/relationships/table" Target="../tables/table11.xml"/><Relationship Id="rId12" Type="http://schemas.openxmlformats.org/officeDocument/2006/relationships/hyperlink" Target="https://sirge.inia.gob.pe/consulta?type=8&amp;var=1&amp;col=4" TargetMode="External"/><Relationship Id="rId34" Type="http://schemas.openxmlformats.org/officeDocument/2006/relationships/table" Target="../tables/table10.xml"/><Relationship Id="rId1" Type="http://schemas.openxmlformats.org/officeDocument/2006/relationships/hyperlink" Target="https://repositorio.inia.gob.pe/items/b12f51da-f580-4854-94d0-bc77c5817ce3" TargetMode="External"/><Relationship Id="rId2" Type="http://schemas.openxmlformats.org/officeDocument/2006/relationships/hyperlink" Target="https://repositorio.inia.gob.pe/items/569b0cc9-ce2e-490a-95cd-4db16b828d95" TargetMode="External"/><Relationship Id="rId3" Type="http://schemas.openxmlformats.org/officeDocument/2006/relationships/hyperlink" Target="https://repositorio.inia.gob.pe/items/995defe3-7afe-48ca-98b6-d053e11014e9" TargetMode="External"/><Relationship Id="rId4" Type="http://schemas.openxmlformats.org/officeDocument/2006/relationships/hyperlink" Target="https://repositorio.inia.gob.pe/server/api/core/bitstreams/06b66d94-b8d6-432c-b29c-42b5db9de9fb/content" TargetMode="External"/><Relationship Id="rId9" Type="http://schemas.openxmlformats.org/officeDocument/2006/relationships/hyperlink" Target="https://sirge.inia.gob.pe/consulta?type=8&amp;var=2&amp;col=6" TargetMode="External"/><Relationship Id="rId26" Type="http://schemas.openxmlformats.org/officeDocument/2006/relationships/table" Target="../tables/table2.xml"/><Relationship Id="rId25" Type="http://schemas.openxmlformats.org/officeDocument/2006/relationships/table" Target="../tables/table1.xml"/><Relationship Id="rId28" Type="http://schemas.openxmlformats.org/officeDocument/2006/relationships/table" Target="../tables/table4.xml"/><Relationship Id="rId27" Type="http://schemas.openxmlformats.org/officeDocument/2006/relationships/table" Target="../tables/table3.xml"/><Relationship Id="rId5" Type="http://schemas.openxmlformats.org/officeDocument/2006/relationships/hyperlink" Target="https://sirge.inia.gob.pe/consulta?type=8&amp;var=7&amp;col=24" TargetMode="External"/><Relationship Id="rId6" Type="http://schemas.openxmlformats.org/officeDocument/2006/relationships/hyperlink" Target="https://sirge.inia.gob.pe/consulta?type=8&amp;var=7&amp;col=25" TargetMode="External"/><Relationship Id="rId29" Type="http://schemas.openxmlformats.org/officeDocument/2006/relationships/table" Target="../tables/table5.xml"/><Relationship Id="rId7" Type="http://schemas.openxmlformats.org/officeDocument/2006/relationships/hyperlink" Target="https://sirge.inia.gob.pe/consulta?type=8&amp;var=2&amp;col=5" TargetMode="External"/><Relationship Id="rId8" Type="http://schemas.openxmlformats.org/officeDocument/2006/relationships/hyperlink" Target="https://sirge.inia.gob.pe/consulta?type=8&amp;var=12&amp;col=32"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mailto:jmaicelo@untrm.edu.pe" TargetMode="External"/><Relationship Id="rId10" Type="http://schemas.openxmlformats.org/officeDocument/2006/relationships/hyperlink" Target="mailto:jorge.condori@untrm.edu.pe" TargetMode="External"/><Relationship Id="rId13" Type="http://schemas.openxmlformats.org/officeDocument/2006/relationships/vmlDrawing" Target="../drawings/vmlDrawing2.vml"/><Relationship Id="rId12" Type="http://schemas.openxmlformats.org/officeDocument/2006/relationships/drawing" Target="../drawings/drawing8.xml"/><Relationship Id="rId1" Type="http://schemas.openxmlformats.org/officeDocument/2006/relationships/comments" Target="../comments2.xml"/><Relationship Id="rId2" Type="http://schemas.openxmlformats.org/officeDocument/2006/relationships/hyperlink" Target="mailto:7576425921@untrm.edu.pe" TargetMode="External"/><Relationship Id="rId3" Type="http://schemas.openxmlformats.org/officeDocument/2006/relationships/hyperlink" Target="mailto:i.manrique@cgiar.org" TargetMode="External"/><Relationship Id="rId4" Type="http://schemas.openxmlformats.org/officeDocument/2006/relationships/hyperlink" Target="mailto:german.delacruz@unsch.edu.pe" TargetMode="External"/><Relationship Id="rId9" Type="http://schemas.openxmlformats.org/officeDocument/2006/relationships/hyperlink" Target="mailto:amhmujica@yahoo.com" TargetMode="External"/><Relationship Id="rId5" Type="http://schemas.openxmlformats.org/officeDocument/2006/relationships/hyperlink" Target="mailto:aquilino.alvarez@unsaac.edu.pe" TargetMode="External"/><Relationship Id="rId6" Type="http://schemas.openxmlformats.org/officeDocument/2006/relationships/hyperlink" Target="mailto:maywa.blanco@unsaac.edu.pe" TargetMode="External"/><Relationship Id="rId7" Type="http://schemas.openxmlformats.org/officeDocument/2006/relationships/hyperlink" Target="mailto:catalina.jimenez@unsaac.edu.pe" TargetMode="External"/><Relationship Id="rId8" Type="http://schemas.openxmlformats.org/officeDocument/2006/relationships/hyperlink" Target="mailto:mvalderramav@unsa.edu.pe"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s://sirge.inia.gob.pe/consulta?type=8&amp;var=7&amp;col=24" TargetMode="External"/><Relationship Id="rId10" Type="http://schemas.openxmlformats.org/officeDocument/2006/relationships/hyperlink" Target="https://sirge.inia.gob.pe/consulta?type=8&amp;var=12&amp;col=33" TargetMode="External"/><Relationship Id="rId13" Type="http://schemas.openxmlformats.org/officeDocument/2006/relationships/drawing" Target="../drawings/drawing9.xml"/><Relationship Id="rId12" Type="http://schemas.openxmlformats.org/officeDocument/2006/relationships/hyperlink" Target="https://sirge.inia.gob.pe/consulta?type=8&amp;var=7&amp;col=25" TargetMode="External"/><Relationship Id="rId1" Type="http://schemas.openxmlformats.org/officeDocument/2006/relationships/hyperlink" Target="https://sirge.inia.gob.pe/consulta?type=8&amp;var=15&amp;col=51" TargetMode="External"/><Relationship Id="rId2" Type="http://schemas.openxmlformats.org/officeDocument/2006/relationships/hyperlink" Target="https://repositorio.inia.gob.pe/items/569b0cc9-ce2e-490a-95cd-4db16b828d95" TargetMode="External"/><Relationship Id="rId3" Type="http://schemas.openxmlformats.org/officeDocument/2006/relationships/hyperlink" Target="https://sirge.inia.gob.pe/consulta?type=8&amp;var=2&amp;col=5" TargetMode="External"/><Relationship Id="rId4" Type="http://schemas.openxmlformats.org/officeDocument/2006/relationships/hyperlink" Target="https://repositorio.inia.gob.pe/items/b12f51da-f580-4854-94d0-bc77c5817ce3" TargetMode="External"/><Relationship Id="rId9" Type="http://schemas.openxmlformats.org/officeDocument/2006/relationships/hyperlink" Target="https://sirge.inia.gob.pe/consulta?type=8&amp;var=2&amp;col=6" TargetMode="External"/><Relationship Id="rId15" Type="http://schemas.openxmlformats.org/officeDocument/2006/relationships/table" Target="../tables/table13.xml"/><Relationship Id="rId5" Type="http://schemas.openxmlformats.org/officeDocument/2006/relationships/hyperlink" Target="https://repositorio.inia.gob.pe/items/995defe3-7afe-48ca-98b6-d053e11014e9" TargetMode="External"/><Relationship Id="rId6" Type="http://schemas.openxmlformats.org/officeDocument/2006/relationships/hyperlink" Target="https://repositorio.inia.gob.pe/server/api/core/bitstreams/06b66d94-b8d6-432c-b29c-42b5db9de9fb/content" TargetMode="External"/><Relationship Id="rId7" Type="http://schemas.openxmlformats.org/officeDocument/2006/relationships/hyperlink" Target="https://sirge.inia.gob.pe/consulta?type=8&amp;var=1&amp;col=4" TargetMode="External"/><Relationship Id="rId8" Type="http://schemas.openxmlformats.org/officeDocument/2006/relationships/hyperlink" Target="https://sirge.inia.gob.pe/consulta?type=8&amp;var=12&amp;col=3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1.0"/>
    <col customWidth="1" min="2" max="2" width="18.25"/>
    <col customWidth="1" min="3" max="3" width="29.25"/>
    <col customWidth="1" min="4" max="4" width="28.0"/>
    <col customWidth="1" min="5" max="5" width="23.88"/>
    <col customWidth="1" min="6" max="6" width="20.63"/>
  </cols>
  <sheetData>
    <row r="1">
      <c r="A1" s="4" t="s">
        <v>1</v>
      </c>
      <c r="B1" s="4" t="s">
        <v>13</v>
      </c>
      <c r="C1" s="4" t="s">
        <v>15</v>
      </c>
      <c r="D1" s="4" t="s">
        <v>16</v>
      </c>
      <c r="E1" s="6" t="s">
        <v>18</v>
      </c>
      <c r="F1" s="6" t="s">
        <v>21</v>
      </c>
      <c r="G1" s="6" t="s">
        <v>22</v>
      </c>
    </row>
    <row r="2">
      <c r="A2" s="7" t="s">
        <v>23</v>
      </c>
      <c r="B2" s="8"/>
      <c r="C2" s="9"/>
      <c r="D2" s="8"/>
      <c r="E2" s="8"/>
      <c r="F2" s="8"/>
      <c r="G2" s="8"/>
    </row>
    <row r="3">
      <c r="A3" s="7" t="s">
        <v>24</v>
      </c>
      <c r="B3" s="8"/>
      <c r="C3" s="8"/>
      <c r="D3" s="8"/>
      <c r="E3" s="8"/>
      <c r="F3" s="8"/>
      <c r="G3" s="8"/>
    </row>
    <row r="4">
      <c r="A4" s="7" t="s">
        <v>26</v>
      </c>
      <c r="B4" s="7" t="s">
        <v>28</v>
      </c>
      <c r="C4" s="7" t="s">
        <v>29</v>
      </c>
      <c r="D4" s="8"/>
      <c r="E4" s="8"/>
      <c r="F4" s="8"/>
      <c r="G4" s="8"/>
    </row>
    <row r="5">
      <c r="A5" s="7" t="s">
        <v>36</v>
      </c>
      <c r="B5" s="7" t="s">
        <v>38</v>
      </c>
      <c r="C5" s="8"/>
      <c r="D5" s="8"/>
      <c r="E5" s="8"/>
      <c r="F5" s="8"/>
      <c r="G5" s="8"/>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0.63"/>
  </cols>
  <sheetData>
    <row r="1">
      <c r="A1" s="1" t="s">
        <v>0</v>
      </c>
      <c r="B1" s="1" t="s">
        <v>3</v>
      </c>
    </row>
    <row r="2">
      <c r="A2" s="1" t="s">
        <v>4</v>
      </c>
      <c r="B2" s="3" t="s">
        <v>5</v>
      </c>
    </row>
    <row r="3">
      <c r="A3" s="1" t="s">
        <v>7</v>
      </c>
      <c r="B3" s="3" t="s">
        <v>8</v>
      </c>
    </row>
    <row r="4">
      <c r="A4" s="1" t="s">
        <v>10</v>
      </c>
      <c r="B4" s="3" t="s">
        <v>11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8.63"/>
    <col customWidth="1" min="2" max="2" width="12.88"/>
    <col customWidth="1" min="3" max="3" width="30.5"/>
    <col customWidth="1" min="4" max="4" width="25.25"/>
  </cols>
  <sheetData>
    <row r="1">
      <c r="A1" s="2" t="s">
        <v>2</v>
      </c>
      <c r="B1" s="2" t="s">
        <v>6</v>
      </c>
      <c r="C1" s="2" t="s">
        <v>9</v>
      </c>
      <c r="D1" s="2" t="s">
        <v>12</v>
      </c>
    </row>
    <row r="2">
      <c r="A2" s="5" t="s">
        <v>14</v>
      </c>
      <c r="B2" s="5" t="s">
        <v>17</v>
      </c>
      <c r="C2" s="5" t="s">
        <v>19</v>
      </c>
      <c r="D2" s="11" t="s">
        <v>20</v>
      </c>
    </row>
    <row r="3">
      <c r="A3" s="5" t="s">
        <v>30</v>
      </c>
      <c r="B3" s="5" t="s">
        <v>33</v>
      </c>
      <c r="C3" s="5" t="s">
        <v>37</v>
      </c>
      <c r="D3" s="15" t="s">
        <v>40</v>
      </c>
    </row>
    <row r="4">
      <c r="A4" s="5" t="s">
        <v>44</v>
      </c>
      <c r="B4" s="5" t="s">
        <v>47</v>
      </c>
      <c r="C4" s="5" t="s">
        <v>49</v>
      </c>
      <c r="D4" s="15" t="s">
        <v>51</v>
      </c>
    </row>
    <row r="5">
      <c r="A5" s="5" t="s">
        <v>54</v>
      </c>
      <c r="B5" s="5" t="s">
        <v>56</v>
      </c>
      <c r="C5" s="5" t="s">
        <v>59</v>
      </c>
      <c r="D5" s="15" t="s">
        <v>61</v>
      </c>
    </row>
    <row r="6">
      <c r="A6" s="5" t="s">
        <v>65</v>
      </c>
      <c r="B6" s="5" t="s">
        <v>68</v>
      </c>
      <c r="C6" s="5" t="s">
        <v>70</v>
      </c>
      <c r="D6" s="15" t="s">
        <v>73</v>
      </c>
    </row>
    <row r="7">
      <c r="A7" s="5" t="s">
        <v>76</v>
      </c>
      <c r="B7" s="5" t="s">
        <v>81</v>
      </c>
      <c r="C7" s="5" t="s">
        <v>82</v>
      </c>
      <c r="D7" s="15" t="s">
        <v>85</v>
      </c>
    </row>
    <row r="8">
      <c r="A8" s="5" t="s">
        <v>89</v>
      </c>
      <c r="B8" s="5" t="s">
        <v>90</v>
      </c>
      <c r="C8" s="5" t="s">
        <v>95</v>
      </c>
      <c r="D8" s="15" t="s">
        <v>96</v>
      </c>
    </row>
    <row r="9">
      <c r="A9" s="5" t="s">
        <v>98</v>
      </c>
      <c r="B9" s="5" t="s">
        <v>17</v>
      </c>
      <c r="C9" s="5" t="s">
        <v>100</v>
      </c>
      <c r="D9" s="15" t="s">
        <v>102</v>
      </c>
    </row>
    <row r="10">
      <c r="A10" s="19" t="s">
        <v>103</v>
      </c>
      <c r="B10" s="19" t="s">
        <v>105</v>
      </c>
      <c r="C10" s="19" t="s">
        <v>107</v>
      </c>
      <c r="D10" s="15" t="s">
        <v>109</v>
      </c>
    </row>
    <row r="11">
      <c r="A11" s="5" t="s">
        <v>76</v>
      </c>
      <c r="B11" s="19" t="s">
        <v>81</v>
      </c>
      <c r="C11" s="19" t="s">
        <v>119</v>
      </c>
      <c r="D11" s="15" t="s">
        <v>122</v>
      </c>
    </row>
    <row r="12">
      <c r="A12" s="5" t="s">
        <v>76</v>
      </c>
      <c r="B12" s="19" t="s">
        <v>81</v>
      </c>
      <c r="C12" s="19" t="s">
        <v>129</v>
      </c>
      <c r="D12" s="15" t="s">
        <v>132</v>
      </c>
    </row>
    <row r="13">
      <c r="A13" s="19" t="s">
        <v>44</v>
      </c>
      <c r="B13" s="19" t="s">
        <v>47</v>
      </c>
      <c r="C13" s="19" t="s">
        <v>139</v>
      </c>
      <c r="D13" s="15" t="s">
        <v>141</v>
      </c>
    </row>
    <row r="14">
      <c r="A14" s="19" t="s">
        <v>103</v>
      </c>
      <c r="B14" s="19" t="s">
        <v>105</v>
      </c>
      <c r="C14" s="19" t="s">
        <v>154</v>
      </c>
      <c r="D14" s="15" t="s">
        <v>156</v>
      </c>
    </row>
    <row r="15">
      <c r="A15" s="19" t="s">
        <v>159</v>
      </c>
      <c r="B15" s="19" t="s">
        <v>160</v>
      </c>
      <c r="C15" s="19" t="s">
        <v>161</v>
      </c>
      <c r="D15" s="15" t="s">
        <v>163</v>
      </c>
    </row>
    <row r="16">
      <c r="A16" s="19" t="s">
        <v>44</v>
      </c>
      <c r="B16" s="19" t="s">
        <v>47</v>
      </c>
      <c r="C16" s="19" t="s">
        <v>168</v>
      </c>
      <c r="D16" s="15" t="s">
        <v>171</v>
      </c>
    </row>
    <row r="17">
      <c r="A17" s="19" t="s">
        <v>174</v>
      </c>
      <c r="B17" s="19" t="s">
        <v>33</v>
      </c>
      <c r="C17" s="19" t="s">
        <v>177</v>
      </c>
      <c r="D17" s="15" t="s">
        <v>180</v>
      </c>
    </row>
    <row r="18">
      <c r="A18" s="5" t="s">
        <v>76</v>
      </c>
      <c r="B18" s="5" t="s">
        <v>81</v>
      </c>
      <c r="C18" s="19" t="s">
        <v>182</v>
      </c>
      <c r="D18" s="15" t="s">
        <v>185</v>
      </c>
    </row>
    <row r="19">
      <c r="A19" s="5" t="s">
        <v>65</v>
      </c>
      <c r="B19" s="5" t="s">
        <v>68</v>
      </c>
      <c r="C19" s="19" t="s">
        <v>192</v>
      </c>
      <c r="D19" s="15" t="s">
        <v>194</v>
      </c>
    </row>
    <row r="20">
      <c r="A20" s="19" t="s">
        <v>195</v>
      </c>
      <c r="B20" s="19" t="s">
        <v>197</v>
      </c>
      <c r="C20" s="19" t="s">
        <v>198</v>
      </c>
      <c r="D20" s="15" t="s">
        <v>201</v>
      </c>
    </row>
    <row r="21">
      <c r="A21" s="19" t="s">
        <v>44</v>
      </c>
      <c r="B21" s="19" t="s">
        <v>47</v>
      </c>
      <c r="C21" s="19" t="s">
        <v>205</v>
      </c>
      <c r="D21" s="15" t="s">
        <v>207</v>
      </c>
    </row>
    <row r="22">
      <c r="A22" s="5" t="s">
        <v>14</v>
      </c>
      <c r="B22" s="40" t="s">
        <v>68</v>
      </c>
      <c r="C22" s="40" t="s">
        <v>210</v>
      </c>
      <c r="D22" s="41" t="s">
        <v>212</v>
      </c>
    </row>
    <row r="23">
      <c r="A23" s="40" t="s">
        <v>214</v>
      </c>
      <c r="B23" s="40" t="s">
        <v>47</v>
      </c>
      <c r="C23" s="40" t="s">
        <v>218</v>
      </c>
      <c r="D23" s="41" t="s">
        <v>222</v>
      </c>
    </row>
  </sheetData>
  <hyperlinks>
    <hyperlink r:id="rId1" ref="D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3"/>
    <col customWidth="1" min="2" max="2" width="10.25"/>
    <col customWidth="1" min="3" max="3" width="10.88"/>
    <col customWidth="1" min="4" max="4" width="37.38"/>
    <col customWidth="1" min="5" max="5" width="9.88"/>
    <col customWidth="1" min="6" max="6" width="18.75"/>
    <col customWidth="1" min="7" max="7" width="11.13"/>
    <col customWidth="1" min="8" max="8" width="15.0"/>
    <col customWidth="1" min="9" max="9" width="16.63"/>
    <col customWidth="1" min="10" max="10" width="11.13"/>
    <col customWidth="1" min="11" max="11" width="9.38"/>
    <col customWidth="1" min="12" max="12" width="51.38"/>
    <col customWidth="1" min="13" max="13" width="22.13"/>
    <col customWidth="1" min="14" max="14" width="8.25"/>
    <col customWidth="1" min="15" max="15" width="37.5"/>
  </cols>
  <sheetData>
    <row r="1">
      <c r="A1" s="16" t="s">
        <v>64</v>
      </c>
      <c r="B1" s="16" t="s">
        <v>75</v>
      </c>
      <c r="C1" s="16" t="s">
        <v>79</v>
      </c>
      <c r="D1" s="16" t="s">
        <v>83</v>
      </c>
      <c r="E1" s="17" t="s">
        <v>87</v>
      </c>
      <c r="F1" s="16" t="s">
        <v>93</v>
      </c>
      <c r="G1" s="16" t="s">
        <v>97</v>
      </c>
      <c r="H1" s="16" t="s">
        <v>99</v>
      </c>
      <c r="I1" s="18" t="s">
        <v>101</v>
      </c>
      <c r="J1" s="18" t="s">
        <v>104</v>
      </c>
      <c r="K1" s="18" t="s">
        <v>111</v>
      </c>
      <c r="L1" s="18" t="s">
        <v>115</v>
      </c>
      <c r="M1" s="18" t="s">
        <v>118</v>
      </c>
      <c r="N1" s="16" t="s">
        <v>123</v>
      </c>
      <c r="O1" s="16" t="s">
        <v>126</v>
      </c>
    </row>
    <row r="2">
      <c r="A2" s="27" t="s">
        <v>130</v>
      </c>
      <c r="B2" s="27" t="s">
        <v>136</v>
      </c>
      <c r="C2" s="27" t="s">
        <v>138</v>
      </c>
      <c r="D2" s="5" t="s">
        <v>140</v>
      </c>
      <c r="E2" s="28" t="s">
        <v>143</v>
      </c>
      <c r="F2" s="29" t="s">
        <v>131</v>
      </c>
      <c r="G2" s="5" t="s">
        <v>148</v>
      </c>
      <c r="H2" s="5">
        <v>224.0</v>
      </c>
      <c r="I2" s="5" t="s">
        <v>150</v>
      </c>
      <c r="J2" s="5" t="s">
        <v>151</v>
      </c>
      <c r="K2" s="5">
        <v>2025.0</v>
      </c>
      <c r="L2" s="5"/>
      <c r="M2" s="5"/>
      <c r="N2" s="5" t="s">
        <v>155</v>
      </c>
      <c r="O2" s="36" t="s">
        <v>157</v>
      </c>
    </row>
    <row r="3">
      <c r="A3" s="27" t="s">
        <v>169</v>
      </c>
      <c r="B3" s="27" t="s">
        <v>169</v>
      </c>
      <c r="C3" s="38" t="s">
        <v>173</v>
      </c>
      <c r="D3" s="5" t="s">
        <v>176</v>
      </c>
      <c r="E3" s="28" t="s">
        <v>178</v>
      </c>
      <c r="F3" s="29" t="s">
        <v>147</v>
      </c>
      <c r="G3" s="5" t="s">
        <v>148</v>
      </c>
      <c r="H3" s="5">
        <v>214.0</v>
      </c>
      <c r="I3" s="5" t="s">
        <v>150</v>
      </c>
      <c r="J3" s="5" t="s">
        <v>151</v>
      </c>
      <c r="K3" s="5">
        <v>2023.0</v>
      </c>
      <c r="L3" s="5"/>
      <c r="M3" s="5"/>
      <c r="N3" s="5" t="s">
        <v>190</v>
      </c>
      <c r="O3" s="36" t="s">
        <v>191</v>
      </c>
    </row>
    <row r="4">
      <c r="A4" s="27" t="s">
        <v>130</v>
      </c>
      <c r="B4" s="27" t="s">
        <v>136</v>
      </c>
      <c r="C4" s="27" t="s">
        <v>138</v>
      </c>
      <c r="D4" s="5" t="s">
        <v>204</v>
      </c>
      <c r="E4" s="28" t="s">
        <v>143</v>
      </c>
      <c r="F4" s="29" t="s">
        <v>142</v>
      </c>
      <c r="G4" s="5" t="s">
        <v>148</v>
      </c>
      <c r="H4" s="5">
        <v>941.0</v>
      </c>
      <c r="I4" s="5" t="s">
        <v>150</v>
      </c>
      <c r="J4" s="5" t="s">
        <v>151</v>
      </c>
      <c r="K4" s="5">
        <v>2023.0</v>
      </c>
      <c r="L4" s="5"/>
      <c r="M4" s="5"/>
      <c r="N4" s="5" t="s">
        <v>155</v>
      </c>
      <c r="O4" s="44" t="s">
        <v>220</v>
      </c>
    </row>
    <row r="5">
      <c r="A5" s="27" t="s">
        <v>130</v>
      </c>
      <c r="B5" s="27" t="s">
        <v>136</v>
      </c>
      <c r="C5" s="27" t="s">
        <v>138</v>
      </c>
      <c r="D5" s="5" t="s">
        <v>204</v>
      </c>
      <c r="E5" s="28" t="s">
        <v>143</v>
      </c>
      <c r="F5" s="29" t="s">
        <v>128</v>
      </c>
      <c r="G5" s="5" t="s">
        <v>227</v>
      </c>
      <c r="H5" s="5">
        <v>20.0</v>
      </c>
      <c r="I5" s="5" t="s">
        <v>150</v>
      </c>
      <c r="J5" s="5" t="s">
        <v>228</v>
      </c>
      <c r="K5" s="5">
        <v>2013.0</v>
      </c>
      <c r="L5" s="5"/>
      <c r="M5" s="5"/>
      <c r="N5" s="5" t="s">
        <v>230</v>
      </c>
      <c r="O5" s="36" t="s">
        <v>231</v>
      </c>
    </row>
    <row r="6">
      <c r="A6" s="27" t="s">
        <v>33</v>
      </c>
      <c r="B6" s="46" t="s">
        <v>33</v>
      </c>
      <c r="C6" s="46" t="s">
        <v>33</v>
      </c>
      <c r="D6" s="5" t="s">
        <v>238</v>
      </c>
      <c r="E6" s="28" t="s">
        <v>239</v>
      </c>
      <c r="F6" s="29" t="s">
        <v>128</v>
      </c>
      <c r="G6" s="5" t="s">
        <v>148</v>
      </c>
      <c r="H6" s="5">
        <v>1383.0</v>
      </c>
      <c r="I6" s="5" t="s">
        <v>150</v>
      </c>
      <c r="J6" s="5" t="s">
        <v>228</v>
      </c>
      <c r="K6" s="5">
        <v>2024.0</v>
      </c>
      <c r="L6" s="5"/>
      <c r="M6" s="5"/>
      <c r="N6" s="5" t="s">
        <v>155</v>
      </c>
      <c r="O6" s="36" t="s">
        <v>250</v>
      </c>
    </row>
    <row r="7">
      <c r="A7" s="27" t="s">
        <v>33</v>
      </c>
      <c r="B7" s="46" t="s">
        <v>33</v>
      </c>
      <c r="C7" s="46" t="s">
        <v>33</v>
      </c>
      <c r="D7" s="5" t="s">
        <v>238</v>
      </c>
      <c r="E7" s="28" t="s">
        <v>239</v>
      </c>
      <c r="F7" s="29" t="s">
        <v>134</v>
      </c>
      <c r="G7" s="5" t="s">
        <v>148</v>
      </c>
      <c r="H7" s="5">
        <v>253.0</v>
      </c>
      <c r="I7" s="5" t="s">
        <v>150</v>
      </c>
      <c r="J7" s="5" t="s">
        <v>228</v>
      </c>
      <c r="K7" s="5">
        <v>2024.0</v>
      </c>
      <c r="L7" s="5"/>
      <c r="M7" s="5"/>
      <c r="N7" s="5" t="s">
        <v>155</v>
      </c>
      <c r="O7" s="36" t="s">
        <v>278</v>
      </c>
    </row>
    <row r="8">
      <c r="A8" s="27" t="s">
        <v>169</v>
      </c>
      <c r="B8" s="27" t="s">
        <v>169</v>
      </c>
      <c r="C8" s="38" t="s">
        <v>173</v>
      </c>
      <c r="D8" s="5" t="s">
        <v>176</v>
      </c>
      <c r="E8" s="28" t="s">
        <v>178</v>
      </c>
      <c r="F8" s="29" t="s">
        <v>135</v>
      </c>
      <c r="G8" s="5" t="s">
        <v>148</v>
      </c>
      <c r="H8" s="5">
        <v>388.0</v>
      </c>
      <c r="I8" s="5" t="s">
        <v>150</v>
      </c>
      <c r="J8" s="5" t="s">
        <v>284</v>
      </c>
      <c r="K8" s="5">
        <v>2022.0</v>
      </c>
      <c r="L8" s="5"/>
      <c r="M8" s="5"/>
      <c r="N8" s="5" t="s">
        <v>190</v>
      </c>
      <c r="O8" s="36" t="s">
        <v>286</v>
      </c>
    </row>
    <row r="9">
      <c r="A9" s="27" t="s">
        <v>288</v>
      </c>
      <c r="B9" s="27" t="s">
        <v>289</v>
      </c>
      <c r="C9" s="27" t="s">
        <v>290</v>
      </c>
      <c r="D9" s="5" t="s">
        <v>291</v>
      </c>
      <c r="E9" s="28" t="s">
        <v>293</v>
      </c>
      <c r="F9" s="5" t="s">
        <v>295</v>
      </c>
      <c r="G9" s="5" t="s">
        <v>148</v>
      </c>
      <c r="H9" s="5">
        <v>21.0</v>
      </c>
      <c r="I9" s="5" t="s">
        <v>150</v>
      </c>
      <c r="J9" s="5" t="s">
        <v>284</v>
      </c>
      <c r="K9" s="5">
        <v>2024.0</v>
      </c>
      <c r="L9" s="5"/>
      <c r="M9" s="5"/>
      <c r="N9" s="5" t="s">
        <v>190</v>
      </c>
      <c r="O9" s="36" t="s">
        <v>296</v>
      </c>
    </row>
    <row r="10" ht="28.5" customHeight="1">
      <c r="A10" s="71"/>
      <c r="B10" s="71"/>
      <c r="C10" s="71"/>
      <c r="D10" s="71"/>
      <c r="E10" s="72"/>
      <c r="F10" s="73" t="s">
        <v>144</v>
      </c>
      <c r="G10" s="5"/>
      <c r="H10" s="5"/>
      <c r="I10" s="5"/>
      <c r="J10" s="71"/>
      <c r="K10" s="71"/>
      <c r="L10" s="71"/>
      <c r="M10" s="71"/>
      <c r="N10" s="71"/>
      <c r="O10" s="5"/>
    </row>
    <row r="11">
      <c r="A11" s="27" t="s">
        <v>288</v>
      </c>
      <c r="B11" s="27" t="s">
        <v>289</v>
      </c>
      <c r="C11" s="27" t="s">
        <v>290</v>
      </c>
      <c r="D11" s="5" t="s">
        <v>291</v>
      </c>
      <c r="E11" s="28" t="s">
        <v>293</v>
      </c>
      <c r="F11" s="75" t="s">
        <v>145</v>
      </c>
      <c r="G11" s="5" t="s">
        <v>148</v>
      </c>
      <c r="H11" s="5">
        <v>235.0</v>
      </c>
      <c r="I11" s="5" t="s">
        <v>150</v>
      </c>
      <c r="J11" s="76" t="s">
        <v>228</v>
      </c>
      <c r="K11" s="5">
        <v>2024.0</v>
      </c>
      <c r="L11" s="5"/>
      <c r="M11" s="5"/>
      <c r="N11" s="5" t="s">
        <v>190</v>
      </c>
      <c r="O11" s="36" t="s">
        <v>302</v>
      </c>
    </row>
    <row r="12">
      <c r="A12" s="78" t="s">
        <v>221</v>
      </c>
      <c r="B12" s="78" t="s">
        <v>248</v>
      </c>
      <c r="C12" s="78" t="s">
        <v>223</v>
      </c>
      <c r="D12" s="5" t="s">
        <v>268</v>
      </c>
      <c r="E12" s="28" t="s">
        <v>307</v>
      </c>
      <c r="F12" s="79" t="s">
        <v>146</v>
      </c>
      <c r="G12" s="5" t="s">
        <v>308</v>
      </c>
      <c r="H12" s="5">
        <v>2.0</v>
      </c>
      <c r="I12" s="5" t="s">
        <v>150</v>
      </c>
      <c r="J12" s="5" t="s">
        <v>228</v>
      </c>
      <c r="K12" s="5">
        <v>202.0</v>
      </c>
      <c r="L12" s="5"/>
      <c r="M12" s="5"/>
      <c r="N12" s="5" t="s">
        <v>190</v>
      </c>
      <c r="O12" s="36" t="s">
        <v>275</v>
      </c>
    </row>
    <row r="13">
      <c r="A13" s="27" t="s">
        <v>288</v>
      </c>
      <c r="B13" s="27" t="s">
        <v>289</v>
      </c>
      <c r="C13" s="27" t="s">
        <v>290</v>
      </c>
      <c r="D13" s="5" t="s">
        <v>291</v>
      </c>
      <c r="E13" s="28" t="s">
        <v>293</v>
      </c>
      <c r="F13" s="79" t="s">
        <v>146</v>
      </c>
      <c r="G13" s="5" t="s">
        <v>308</v>
      </c>
      <c r="H13" s="5">
        <v>180.0</v>
      </c>
      <c r="I13" s="5" t="s">
        <v>150</v>
      </c>
      <c r="J13" s="5" t="s">
        <v>284</v>
      </c>
      <c r="K13" s="5">
        <v>2024.0</v>
      </c>
      <c r="L13" s="5"/>
      <c r="M13" s="5"/>
      <c r="N13" s="5" t="s">
        <v>190</v>
      </c>
      <c r="O13" s="44" t="s">
        <v>315</v>
      </c>
    </row>
    <row r="14">
      <c r="A14" s="27" t="s">
        <v>130</v>
      </c>
      <c r="B14" s="27" t="s">
        <v>136</v>
      </c>
      <c r="C14" s="27" t="s">
        <v>138</v>
      </c>
      <c r="D14" s="5" t="s">
        <v>140</v>
      </c>
      <c r="E14" s="28" t="s">
        <v>143</v>
      </c>
      <c r="F14" s="29" t="s">
        <v>133</v>
      </c>
      <c r="G14" s="5" t="s">
        <v>148</v>
      </c>
      <c r="H14" s="5">
        <v>192.0</v>
      </c>
      <c r="I14" s="5" t="s">
        <v>150</v>
      </c>
      <c r="J14" s="5" t="s">
        <v>151</v>
      </c>
      <c r="K14" s="5">
        <v>2023.0</v>
      </c>
      <c r="L14" s="5"/>
      <c r="M14" s="5"/>
      <c r="N14" s="5" t="s">
        <v>190</v>
      </c>
      <c r="O14" s="36" t="s">
        <v>309</v>
      </c>
    </row>
    <row r="15">
      <c r="A15" s="78" t="s">
        <v>130</v>
      </c>
      <c r="B15" s="78" t="s">
        <v>130</v>
      </c>
      <c r="C15" s="78" t="s">
        <v>153</v>
      </c>
      <c r="D15" s="5" t="s">
        <v>152</v>
      </c>
      <c r="E15" s="28" t="s">
        <v>320</v>
      </c>
      <c r="F15" s="29" t="s">
        <v>128</v>
      </c>
      <c r="G15" s="5" t="s">
        <v>148</v>
      </c>
      <c r="H15" s="5">
        <v>1000.0</v>
      </c>
      <c r="I15" s="5" t="s">
        <v>150</v>
      </c>
      <c r="J15" s="5" t="s">
        <v>323</v>
      </c>
      <c r="K15" s="5">
        <v>2026.0</v>
      </c>
      <c r="L15" s="5" t="s">
        <v>324</v>
      </c>
      <c r="M15" s="5" t="s">
        <v>326</v>
      </c>
      <c r="N15" s="5"/>
      <c r="O15" s="5"/>
    </row>
    <row r="16">
      <c r="A16" s="78" t="s">
        <v>130</v>
      </c>
      <c r="B16" s="78" t="s">
        <v>130</v>
      </c>
      <c r="C16" s="78" t="s">
        <v>153</v>
      </c>
      <c r="D16" s="5" t="s">
        <v>152</v>
      </c>
      <c r="E16" s="28" t="s">
        <v>320</v>
      </c>
      <c r="F16" s="29" t="s">
        <v>135</v>
      </c>
      <c r="G16" s="5" t="s">
        <v>148</v>
      </c>
      <c r="H16" s="5">
        <v>1600.0</v>
      </c>
      <c r="I16" s="5" t="s">
        <v>150</v>
      </c>
      <c r="J16" s="5" t="s">
        <v>323</v>
      </c>
      <c r="K16" s="5">
        <v>2026.0</v>
      </c>
      <c r="L16" s="5"/>
      <c r="M16" s="5"/>
      <c r="N16" s="5"/>
      <c r="O16" s="5"/>
    </row>
    <row r="17">
      <c r="A17" s="78" t="s">
        <v>130</v>
      </c>
      <c r="B17" s="78" t="s">
        <v>130</v>
      </c>
      <c r="C17" s="78" t="s">
        <v>153</v>
      </c>
      <c r="D17" s="5" t="s">
        <v>152</v>
      </c>
      <c r="E17" s="28" t="s">
        <v>320</v>
      </c>
      <c r="F17" s="29" t="s">
        <v>146</v>
      </c>
      <c r="G17" s="5" t="s">
        <v>148</v>
      </c>
      <c r="H17" s="5">
        <v>1500.0</v>
      </c>
      <c r="I17" s="5" t="s">
        <v>150</v>
      </c>
      <c r="J17" s="5" t="s">
        <v>323</v>
      </c>
      <c r="K17" s="5">
        <v>2026.0</v>
      </c>
      <c r="L17" s="5"/>
      <c r="M17" s="5"/>
      <c r="N17" s="5"/>
      <c r="O17" s="5"/>
    </row>
    <row r="18">
      <c r="A18" s="5" t="s">
        <v>68</v>
      </c>
      <c r="B18" s="5" t="s">
        <v>68</v>
      </c>
      <c r="C18" s="5" t="s">
        <v>330</v>
      </c>
      <c r="D18" s="5" t="s">
        <v>167</v>
      </c>
      <c r="E18" s="28" t="s">
        <v>333</v>
      </c>
      <c r="F18" s="29" t="s">
        <v>131</v>
      </c>
      <c r="G18" s="5" t="s">
        <v>148</v>
      </c>
      <c r="H18" s="5">
        <v>216.0</v>
      </c>
      <c r="I18" s="5" t="s">
        <v>335</v>
      </c>
      <c r="J18" s="5" t="s">
        <v>151</v>
      </c>
      <c r="K18" s="5">
        <v>2026.0</v>
      </c>
      <c r="L18" s="61" t="s">
        <v>336</v>
      </c>
      <c r="M18" s="5" t="s">
        <v>326</v>
      </c>
      <c r="N18" s="5"/>
      <c r="O18" s="5"/>
    </row>
    <row r="19">
      <c r="A19" s="5" t="s">
        <v>68</v>
      </c>
      <c r="B19" s="5" t="s">
        <v>68</v>
      </c>
      <c r="C19" s="5" t="s">
        <v>330</v>
      </c>
      <c r="D19" s="5" t="s">
        <v>167</v>
      </c>
      <c r="E19" s="28" t="s">
        <v>333</v>
      </c>
      <c r="F19" s="29" t="s">
        <v>133</v>
      </c>
      <c r="G19" s="5" t="s">
        <v>148</v>
      </c>
      <c r="H19" s="5">
        <v>548.0</v>
      </c>
      <c r="I19" s="5" t="s">
        <v>335</v>
      </c>
      <c r="J19" s="5" t="s">
        <v>151</v>
      </c>
      <c r="K19" s="5">
        <v>2026.0</v>
      </c>
      <c r="L19" s="5"/>
      <c r="M19" s="5"/>
      <c r="N19" s="5"/>
      <c r="O19" s="5"/>
    </row>
    <row r="20">
      <c r="A20" s="5" t="s">
        <v>68</v>
      </c>
      <c r="B20" s="5" t="s">
        <v>68</v>
      </c>
      <c r="C20" s="5" t="s">
        <v>330</v>
      </c>
      <c r="D20" s="5" t="s">
        <v>167</v>
      </c>
      <c r="E20" s="28" t="s">
        <v>333</v>
      </c>
      <c r="F20" s="29" t="s">
        <v>137</v>
      </c>
      <c r="G20" s="5" t="s">
        <v>148</v>
      </c>
      <c r="H20" s="5">
        <v>157.0</v>
      </c>
      <c r="I20" s="72"/>
      <c r="J20" s="5" t="s">
        <v>323</v>
      </c>
      <c r="K20" s="5">
        <v>2026.0</v>
      </c>
      <c r="L20" s="5"/>
      <c r="M20" s="5"/>
      <c r="N20" s="5"/>
      <c r="O20" s="5"/>
    </row>
    <row r="21">
      <c r="A21" s="5" t="s">
        <v>68</v>
      </c>
      <c r="B21" s="5" t="s">
        <v>68</v>
      </c>
      <c r="C21" s="5" t="s">
        <v>330</v>
      </c>
      <c r="D21" s="5" t="s">
        <v>167</v>
      </c>
      <c r="E21" s="28" t="s">
        <v>333</v>
      </c>
      <c r="F21" s="29" t="s">
        <v>142</v>
      </c>
      <c r="G21" s="5" t="s">
        <v>148</v>
      </c>
      <c r="H21" s="5">
        <v>881.0</v>
      </c>
      <c r="I21" s="28" t="s">
        <v>335</v>
      </c>
      <c r="J21" s="5" t="s">
        <v>151</v>
      </c>
      <c r="K21" s="5">
        <v>2026.0</v>
      </c>
      <c r="L21" s="5"/>
      <c r="M21" s="5"/>
      <c r="N21" s="5"/>
      <c r="O21" s="5"/>
    </row>
    <row r="22">
      <c r="A22" s="5" t="s">
        <v>68</v>
      </c>
      <c r="B22" s="5" t="s">
        <v>68</v>
      </c>
      <c r="C22" s="5" t="s">
        <v>330</v>
      </c>
      <c r="D22" s="5" t="s">
        <v>167</v>
      </c>
      <c r="E22" s="28" t="s">
        <v>333</v>
      </c>
      <c r="F22" s="29" t="s">
        <v>145</v>
      </c>
      <c r="G22" s="5" t="s">
        <v>148</v>
      </c>
      <c r="H22" s="5">
        <v>42.0</v>
      </c>
      <c r="I22" s="5" t="s">
        <v>335</v>
      </c>
      <c r="J22" s="5" t="s">
        <v>151</v>
      </c>
      <c r="K22" s="5">
        <v>2026.0</v>
      </c>
      <c r="L22" s="5"/>
      <c r="M22" s="5"/>
      <c r="N22" s="5"/>
      <c r="O22" s="5"/>
    </row>
    <row r="23">
      <c r="A23" s="5" t="s">
        <v>68</v>
      </c>
      <c r="B23" s="5" t="s">
        <v>68</v>
      </c>
      <c r="C23" s="5" t="s">
        <v>330</v>
      </c>
      <c r="D23" s="5" t="s">
        <v>167</v>
      </c>
      <c r="E23" s="28" t="s">
        <v>333</v>
      </c>
      <c r="F23" s="29" t="s">
        <v>147</v>
      </c>
      <c r="G23" s="5" t="s">
        <v>148</v>
      </c>
      <c r="H23" s="5">
        <v>58.0</v>
      </c>
      <c r="I23" s="5" t="s">
        <v>342</v>
      </c>
      <c r="J23" s="5" t="s">
        <v>151</v>
      </c>
      <c r="K23" s="5">
        <v>2026.0</v>
      </c>
      <c r="L23" s="5"/>
      <c r="M23" s="5"/>
      <c r="N23" s="5"/>
      <c r="O23" s="5"/>
    </row>
    <row r="24">
      <c r="A24" s="78" t="s">
        <v>187</v>
      </c>
      <c r="B24" s="78" t="s">
        <v>189</v>
      </c>
      <c r="C24" s="78" t="s">
        <v>187</v>
      </c>
      <c r="D24" s="5" t="s">
        <v>186</v>
      </c>
      <c r="E24" s="28" t="s">
        <v>343</v>
      </c>
      <c r="F24" s="29" t="s">
        <v>128</v>
      </c>
      <c r="G24" s="5" t="s">
        <v>148</v>
      </c>
      <c r="H24" s="5">
        <v>250.0</v>
      </c>
      <c r="I24" s="5" t="s">
        <v>335</v>
      </c>
      <c r="J24" s="5" t="s">
        <v>323</v>
      </c>
      <c r="K24" s="5">
        <v>2026.0</v>
      </c>
      <c r="L24" s="61" t="s">
        <v>344</v>
      </c>
      <c r="M24" s="65" t="s">
        <v>345</v>
      </c>
      <c r="N24" s="5"/>
      <c r="O24" s="5"/>
    </row>
    <row r="25">
      <c r="A25" s="78" t="s">
        <v>187</v>
      </c>
      <c r="B25" s="78" t="s">
        <v>189</v>
      </c>
      <c r="C25" s="78" t="s">
        <v>187</v>
      </c>
      <c r="D25" s="5" t="s">
        <v>186</v>
      </c>
      <c r="E25" s="28" t="s">
        <v>343</v>
      </c>
      <c r="F25" s="29" t="s">
        <v>134</v>
      </c>
      <c r="G25" s="5" t="s">
        <v>148</v>
      </c>
      <c r="H25" s="5">
        <v>10.0</v>
      </c>
      <c r="I25" s="71"/>
      <c r="J25" s="5" t="s">
        <v>323</v>
      </c>
      <c r="K25" s="5">
        <v>2026.0</v>
      </c>
      <c r="L25" s="5"/>
      <c r="M25" s="5"/>
      <c r="N25" s="5"/>
      <c r="O25" s="5"/>
    </row>
    <row r="26">
      <c r="A26" s="78" t="s">
        <v>187</v>
      </c>
      <c r="B26" s="78" t="s">
        <v>189</v>
      </c>
      <c r="C26" s="78" t="s">
        <v>187</v>
      </c>
      <c r="D26" s="5" t="s">
        <v>186</v>
      </c>
      <c r="E26" s="28" t="s">
        <v>343</v>
      </c>
      <c r="F26" s="29" t="s">
        <v>146</v>
      </c>
      <c r="G26" s="5" t="s">
        <v>148</v>
      </c>
      <c r="H26" s="5">
        <v>10.0</v>
      </c>
      <c r="I26" s="71"/>
      <c r="J26" s="5" t="s">
        <v>323</v>
      </c>
      <c r="K26" s="5">
        <v>2026.0</v>
      </c>
      <c r="L26" s="5"/>
      <c r="M26" s="5"/>
      <c r="N26" s="5"/>
      <c r="O26" s="5"/>
    </row>
    <row r="27">
      <c r="A27" s="78" t="s">
        <v>33</v>
      </c>
      <c r="B27" s="78" t="s">
        <v>33</v>
      </c>
      <c r="C27" s="78" t="s">
        <v>33</v>
      </c>
      <c r="D27" s="78" t="s">
        <v>174</v>
      </c>
      <c r="E27" s="28" t="s">
        <v>346</v>
      </c>
      <c r="F27" s="29" t="s">
        <v>128</v>
      </c>
      <c r="G27" s="5" t="s">
        <v>148</v>
      </c>
      <c r="H27" s="5">
        <v>850.0</v>
      </c>
      <c r="I27" s="5" t="s">
        <v>347</v>
      </c>
      <c r="J27" s="5" t="s">
        <v>348</v>
      </c>
      <c r="K27" s="5">
        <v>2026.0</v>
      </c>
      <c r="L27" s="5" t="s">
        <v>349</v>
      </c>
      <c r="M27" s="5" t="s">
        <v>350</v>
      </c>
      <c r="N27" s="5"/>
      <c r="O27" s="5"/>
    </row>
    <row r="28">
      <c r="A28" s="78" t="s">
        <v>33</v>
      </c>
      <c r="B28" s="78" t="s">
        <v>33</v>
      </c>
      <c r="C28" s="78" t="s">
        <v>33</v>
      </c>
      <c r="D28" s="78" t="s">
        <v>174</v>
      </c>
      <c r="E28" s="28" t="s">
        <v>346</v>
      </c>
      <c r="F28" s="29" t="s">
        <v>131</v>
      </c>
      <c r="G28" s="5" t="s">
        <v>148</v>
      </c>
      <c r="H28" s="5">
        <v>60.0</v>
      </c>
      <c r="I28" s="5" t="s">
        <v>351</v>
      </c>
      <c r="J28" s="5" t="s">
        <v>228</v>
      </c>
      <c r="K28" s="5">
        <v>2026.0</v>
      </c>
      <c r="L28" s="5"/>
      <c r="M28" s="5"/>
      <c r="N28" s="5"/>
      <c r="O28" s="5"/>
    </row>
    <row r="29">
      <c r="A29" s="78" t="s">
        <v>33</v>
      </c>
      <c r="B29" s="78" t="s">
        <v>33</v>
      </c>
      <c r="C29" s="78" t="s">
        <v>33</v>
      </c>
      <c r="D29" s="78" t="s">
        <v>174</v>
      </c>
      <c r="E29" s="28" t="s">
        <v>346</v>
      </c>
      <c r="F29" s="29" t="s">
        <v>133</v>
      </c>
      <c r="G29" s="5" t="s">
        <v>148</v>
      </c>
      <c r="H29" s="5">
        <v>48.0</v>
      </c>
      <c r="I29" s="5" t="s">
        <v>351</v>
      </c>
      <c r="J29" s="5" t="s">
        <v>228</v>
      </c>
      <c r="K29" s="5">
        <v>2026.0</v>
      </c>
      <c r="L29" s="5"/>
      <c r="M29" s="5"/>
      <c r="N29" s="5"/>
      <c r="O29" s="5"/>
    </row>
    <row r="30">
      <c r="A30" s="78" t="s">
        <v>33</v>
      </c>
      <c r="B30" s="78" t="s">
        <v>33</v>
      </c>
      <c r="C30" s="78" t="s">
        <v>33</v>
      </c>
      <c r="D30" s="78" t="s">
        <v>174</v>
      </c>
      <c r="E30" s="28" t="s">
        <v>346</v>
      </c>
      <c r="F30" s="29" t="s">
        <v>134</v>
      </c>
      <c r="G30" s="5" t="s">
        <v>148</v>
      </c>
      <c r="H30" s="5">
        <v>350.0</v>
      </c>
      <c r="I30" s="5" t="s">
        <v>347</v>
      </c>
      <c r="J30" s="5" t="s">
        <v>348</v>
      </c>
      <c r="K30" s="5">
        <v>2026.0</v>
      </c>
      <c r="L30" s="5"/>
      <c r="M30" s="5"/>
      <c r="N30" s="5"/>
      <c r="O30" s="5"/>
    </row>
    <row r="31">
      <c r="A31" s="78" t="s">
        <v>33</v>
      </c>
      <c r="B31" s="78" t="s">
        <v>33</v>
      </c>
      <c r="C31" s="78" t="s">
        <v>33</v>
      </c>
      <c r="D31" s="78" t="s">
        <v>174</v>
      </c>
      <c r="E31" s="28" t="s">
        <v>346</v>
      </c>
      <c r="F31" s="29" t="s">
        <v>135</v>
      </c>
      <c r="G31" s="5" t="s">
        <v>148</v>
      </c>
      <c r="H31" s="5">
        <v>10.0</v>
      </c>
      <c r="I31" s="71"/>
      <c r="J31" s="5" t="s">
        <v>348</v>
      </c>
      <c r="K31" s="5">
        <v>2026.0</v>
      </c>
      <c r="L31" s="5"/>
      <c r="M31" s="5"/>
      <c r="N31" s="5"/>
      <c r="O31" s="5"/>
    </row>
    <row r="32">
      <c r="A32" s="78" t="s">
        <v>33</v>
      </c>
      <c r="B32" s="78" t="s">
        <v>33</v>
      </c>
      <c r="C32" s="78" t="s">
        <v>33</v>
      </c>
      <c r="D32" s="78" t="s">
        <v>174</v>
      </c>
      <c r="E32" s="28" t="s">
        <v>346</v>
      </c>
      <c r="F32" s="29" t="s">
        <v>142</v>
      </c>
      <c r="G32" s="5" t="s">
        <v>148</v>
      </c>
      <c r="H32" s="5">
        <v>120.0</v>
      </c>
      <c r="I32" s="5" t="s">
        <v>351</v>
      </c>
      <c r="J32" s="5" t="s">
        <v>228</v>
      </c>
      <c r="K32" s="5">
        <v>2026.0</v>
      </c>
      <c r="L32" s="5"/>
      <c r="M32" s="5"/>
      <c r="N32" s="5"/>
      <c r="O32" s="5"/>
    </row>
    <row r="33">
      <c r="A33" s="78" t="s">
        <v>33</v>
      </c>
      <c r="B33" s="78" t="s">
        <v>33</v>
      </c>
      <c r="C33" s="78" t="s">
        <v>33</v>
      </c>
      <c r="D33" s="78" t="s">
        <v>174</v>
      </c>
      <c r="E33" s="28" t="s">
        <v>346</v>
      </c>
      <c r="F33" s="29" t="s">
        <v>146</v>
      </c>
      <c r="G33" s="5" t="s">
        <v>148</v>
      </c>
      <c r="H33" s="5">
        <v>450.0</v>
      </c>
      <c r="I33" s="5" t="s">
        <v>347</v>
      </c>
      <c r="J33" s="5" t="s">
        <v>348</v>
      </c>
      <c r="K33" s="5">
        <v>2026.0</v>
      </c>
      <c r="L33" s="5"/>
      <c r="M33" s="5"/>
      <c r="N33" s="5"/>
      <c r="O33" s="5"/>
    </row>
    <row r="34">
      <c r="A34" s="78" t="s">
        <v>33</v>
      </c>
      <c r="B34" s="78" t="s">
        <v>33</v>
      </c>
      <c r="C34" s="78" t="s">
        <v>33</v>
      </c>
      <c r="D34" s="78" t="s">
        <v>174</v>
      </c>
      <c r="E34" s="28" t="s">
        <v>346</v>
      </c>
      <c r="F34" s="29" t="s">
        <v>147</v>
      </c>
      <c r="G34" s="5" t="s">
        <v>148</v>
      </c>
      <c r="H34" s="5">
        <v>5.0</v>
      </c>
      <c r="I34" s="71"/>
      <c r="J34" s="5" t="s">
        <v>228</v>
      </c>
      <c r="K34" s="5">
        <v>2026.0</v>
      </c>
      <c r="L34" s="5"/>
      <c r="M34" s="5"/>
      <c r="N34" s="5"/>
      <c r="O34" s="5"/>
    </row>
    <row r="35">
      <c r="A35" s="78" t="s">
        <v>221</v>
      </c>
      <c r="B35" s="78" t="s">
        <v>223</v>
      </c>
      <c r="C35" s="78" t="s">
        <v>223</v>
      </c>
      <c r="D35" s="89" t="s">
        <v>219</v>
      </c>
      <c r="E35" s="28" t="s">
        <v>352</v>
      </c>
      <c r="F35" s="29" t="s">
        <v>128</v>
      </c>
      <c r="G35" s="5" t="s">
        <v>148</v>
      </c>
      <c r="H35" s="5">
        <v>150.0</v>
      </c>
      <c r="I35" s="71"/>
      <c r="J35" s="5" t="s">
        <v>323</v>
      </c>
      <c r="K35" s="5">
        <v>2026.0</v>
      </c>
      <c r="L35" s="5" t="s">
        <v>353</v>
      </c>
      <c r="M35" s="65" t="s">
        <v>345</v>
      </c>
      <c r="N35" s="5"/>
      <c r="O35" s="5"/>
    </row>
    <row r="36">
      <c r="A36" s="78" t="s">
        <v>221</v>
      </c>
      <c r="B36" s="78" t="s">
        <v>223</v>
      </c>
      <c r="C36" s="78" t="s">
        <v>223</v>
      </c>
      <c r="D36" s="89" t="s">
        <v>219</v>
      </c>
      <c r="E36" s="28" t="s">
        <v>352</v>
      </c>
      <c r="F36" s="29" t="s">
        <v>131</v>
      </c>
      <c r="G36" s="5" t="s">
        <v>148</v>
      </c>
      <c r="H36" s="5">
        <v>10.0</v>
      </c>
      <c r="I36" s="5" t="s">
        <v>347</v>
      </c>
      <c r="J36" s="5" t="s">
        <v>323</v>
      </c>
      <c r="K36" s="5">
        <v>2026.0</v>
      </c>
      <c r="L36" s="5"/>
      <c r="M36" s="5"/>
      <c r="N36" s="5"/>
      <c r="O36" s="5"/>
    </row>
    <row r="37">
      <c r="A37" s="78" t="s">
        <v>221</v>
      </c>
      <c r="B37" s="78" t="s">
        <v>223</v>
      </c>
      <c r="C37" s="78" t="s">
        <v>223</v>
      </c>
      <c r="D37" s="89" t="s">
        <v>219</v>
      </c>
      <c r="E37" s="28" t="s">
        <v>352</v>
      </c>
      <c r="F37" s="29" t="s">
        <v>133</v>
      </c>
      <c r="G37" s="5" t="s">
        <v>148</v>
      </c>
      <c r="H37" s="5">
        <v>10.0</v>
      </c>
      <c r="I37" s="5" t="s">
        <v>347</v>
      </c>
      <c r="J37" s="5" t="s">
        <v>323</v>
      </c>
      <c r="K37" s="5">
        <v>2026.0</v>
      </c>
      <c r="L37" s="5"/>
      <c r="M37" s="5"/>
      <c r="N37" s="5"/>
      <c r="O37" s="5"/>
    </row>
    <row r="38">
      <c r="A38" s="78" t="s">
        <v>221</v>
      </c>
      <c r="B38" s="78" t="s">
        <v>223</v>
      </c>
      <c r="C38" s="78" t="s">
        <v>223</v>
      </c>
      <c r="D38" s="89" t="s">
        <v>219</v>
      </c>
      <c r="E38" s="28" t="s">
        <v>352</v>
      </c>
      <c r="F38" s="29" t="s">
        <v>135</v>
      </c>
      <c r="G38" s="5" t="s">
        <v>148</v>
      </c>
      <c r="H38" s="5">
        <v>5.0</v>
      </c>
      <c r="I38" s="28" t="s">
        <v>351</v>
      </c>
      <c r="J38" s="5" t="s">
        <v>323</v>
      </c>
      <c r="K38" s="5">
        <v>2026.0</v>
      </c>
      <c r="L38" s="5"/>
      <c r="M38" s="5"/>
      <c r="N38" s="5"/>
      <c r="O38" s="5"/>
    </row>
    <row r="39">
      <c r="A39" s="78" t="s">
        <v>221</v>
      </c>
      <c r="B39" s="78" t="s">
        <v>223</v>
      </c>
      <c r="C39" s="78" t="s">
        <v>223</v>
      </c>
      <c r="D39" s="89" t="s">
        <v>219</v>
      </c>
      <c r="E39" s="28" t="s">
        <v>352</v>
      </c>
      <c r="F39" s="29" t="s">
        <v>142</v>
      </c>
      <c r="G39" s="5" t="s">
        <v>148</v>
      </c>
      <c r="H39" s="5">
        <v>10.0</v>
      </c>
      <c r="I39" s="5" t="s">
        <v>347</v>
      </c>
      <c r="J39" s="5" t="s">
        <v>323</v>
      </c>
      <c r="K39" s="5">
        <v>2026.0</v>
      </c>
      <c r="L39" s="5"/>
      <c r="M39" s="5"/>
      <c r="N39" s="5"/>
      <c r="O39" s="5"/>
    </row>
    <row r="40">
      <c r="A40" s="78" t="s">
        <v>130</v>
      </c>
      <c r="B40" s="78" t="s">
        <v>130</v>
      </c>
      <c r="C40" s="78" t="s">
        <v>153</v>
      </c>
      <c r="D40" s="89" t="s">
        <v>152</v>
      </c>
      <c r="E40" s="28" t="s">
        <v>320</v>
      </c>
      <c r="F40" s="29" t="s">
        <v>128</v>
      </c>
      <c r="G40" s="5" t="s">
        <v>148</v>
      </c>
      <c r="H40" s="5">
        <v>520.0</v>
      </c>
      <c r="I40" s="28" t="s">
        <v>351</v>
      </c>
      <c r="J40" s="5" t="s">
        <v>348</v>
      </c>
      <c r="K40" s="5">
        <v>2026.0</v>
      </c>
      <c r="L40" s="5" t="s">
        <v>354</v>
      </c>
      <c r="M40" s="65" t="s">
        <v>345</v>
      </c>
      <c r="N40" s="5"/>
      <c r="O40" s="5"/>
    </row>
    <row r="41">
      <c r="A41" s="78" t="s">
        <v>130</v>
      </c>
      <c r="B41" s="78" t="s">
        <v>130</v>
      </c>
      <c r="C41" s="78" t="s">
        <v>153</v>
      </c>
      <c r="D41" s="89" t="s">
        <v>152</v>
      </c>
      <c r="E41" s="28" t="s">
        <v>320</v>
      </c>
      <c r="F41" s="29" t="s">
        <v>135</v>
      </c>
      <c r="G41" s="5" t="s">
        <v>148</v>
      </c>
      <c r="H41" s="5">
        <v>1600.0</v>
      </c>
      <c r="I41" s="28" t="s">
        <v>351</v>
      </c>
      <c r="J41" s="5" t="s">
        <v>348</v>
      </c>
      <c r="K41" s="5">
        <v>2026.0</v>
      </c>
      <c r="L41" s="5"/>
      <c r="M41" s="5"/>
      <c r="N41" s="5"/>
      <c r="O41" s="5"/>
    </row>
    <row r="42">
      <c r="A42" s="78" t="s">
        <v>130</v>
      </c>
      <c r="B42" s="78" t="s">
        <v>130</v>
      </c>
      <c r="C42" s="78" t="s">
        <v>153</v>
      </c>
      <c r="D42" s="89" t="s">
        <v>152</v>
      </c>
      <c r="E42" s="28" t="s">
        <v>320</v>
      </c>
      <c r="F42" s="29" t="s">
        <v>146</v>
      </c>
      <c r="G42" s="5" t="s">
        <v>148</v>
      </c>
      <c r="H42" s="5">
        <v>1200.0</v>
      </c>
      <c r="I42" s="28" t="s">
        <v>351</v>
      </c>
      <c r="J42" s="5" t="s">
        <v>348</v>
      </c>
      <c r="K42" s="5">
        <v>2026.0</v>
      </c>
      <c r="L42" s="5"/>
      <c r="M42" s="5"/>
      <c r="N42" s="5"/>
      <c r="O42" s="5"/>
    </row>
    <row r="43">
      <c r="A43" s="78" t="s">
        <v>130</v>
      </c>
      <c r="B43" s="78" t="s">
        <v>130</v>
      </c>
      <c r="C43" s="78" t="s">
        <v>153</v>
      </c>
      <c r="D43" s="89" t="s">
        <v>152</v>
      </c>
      <c r="E43" s="28" t="s">
        <v>320</v>
      </c>
      <c r="F43" s="29" t="s">
        <v>131</v>
      </c>
      <c r="G43" s="5" t="s">
        <v>148</v>
      </c>
      <c r="H43" s="5">
        <v>100.0</v>
      </c>
      <c r="I43" s="5" t="s">
        <v>351</v>
      </c>
      <c r="J43" s="5" t="s">
        <v>228</v>
      </c>
      <c r="K43" s="5">
        <v>2026.0</v>
      </c>
      <c r="L43" s="5"/>
      <c r="M43" s="5"/>
      <c r="N43" s="5"/>
      <c r="O43" s="5"/>
    </row>
    <row r="44">
      <c r="A44" s="78" t="s">
        <v>130</v>
      </c>
      <c r="B44" s="78" t="s">
        <v>130</v>
      </c>
      <c r="C44" s="78" t="s">
        <v>153</v>
      </c>
      <c r="D44" s="89" t="s">
        <v>152</v>
      </c>
      <c r="E44" s="28" t="s">
        <v>320</v>
      </c>
      <c r="F44" s="29" t="s">
        <v>133</v>
      </c>
      <c r="G44" s="5" t="s">
        <v>148</v>
      </c>
      <c r="H44" s="5">
        <v>200.0</v>
      </c>
      <c r="I44" s="5" t="s">
        <v>351</v>
      </c>
      <c r="J44" s="5" t="s">
        <v>228</v>
      </c>
      <c r="K44" s="5">
        <v>2026.0</v>
      </c>
      <c r="L44" s="5" t="s">
        <v>355</v>
      </c>
      <c r="M44" s="5" t="s">
        <v>326</v>
      </c>
      <c r="N44" s="5"/>
      <c r="O44" s="5"/>
    </row>
    <row r="45">
      <c r="A45" s="78" t="s">
        <v>130</v>
      </c>
      <c r="B45" s="78" t="s">
        <v>130</v>
      </c>
      <c r="C45" s="78" t="s">
        <v>153</v>
      </c>
      <c r="D45" s="89" t="s">
        <v>152</v>
      </c>
      <c r="E45" s="28" t="s">
        <v>320</v>
      </c>
      <c r="F45" s="29" t="s">
        <v>142</v>
      </c>
      <c r="G45" s="5" t="s">
        <v>148</v>
      </c>
      <c r="H45" s="5">
        <v>200.0</v>
      </c>
      <c r="I45" s="5" t="s">
        <v>351</v>
      </c>
      <c r="J45" s="5" t="s">
        <v>228</v>
      </c>
      <c r="K45" s="5">
        <v>2026.0</v>
      </c>
      <c r="L45" s="5"/>
      <c r="M45" s="5"/>
      <c r="N45" s="5"/>
      <c r="O45" s="5"/>
    </row>
    <row r="46">
      <c r="A46" s="78" t="s">
        <v>130</v>
      </c>
      <c r="B46" s="78" t="s">
        <v>130</v>
      </c>
      <c r="C46" s="78" t="s">
        <v>153</v>
      </c>
      <c r="D46" s="89" t="s">
        <v>152</v>
      </c>
      <c r="E46" s="28" t="s">
        <v>320</v>
      </c>
      <c r="F46" s="29" t="s">
        <v>145</v>
      </c>
      <c r="G46" s="5" t="s">
        <v>148</v>
      </c>
      <c r="H46" s="5">
        <v>7.0</v>
      </c>
      <c r="I46" s="5" t="s">
        <v>351</v>
      </c>
      <c r="J46" s="5" t="s">
        <v>228</v>
      </c>
      <c r="K46" s="5">
        <v>2026.0</v>
      </c>
      <c r="L46" s="5"/>
      <c r="M46" s="5"/>
      <c r="N46" s="5"/>
      <c r="O46" s="5"/>
    </row>
    <row r="47">
      <c r="A47" s="78" t="s">
        <v>130</v>
      </c>
      <c r="B47" s="78" t="s">
        <v>130</v>
      </c>
      <c r="C47" s="78" t="s">
        <v>153</v>
      </c>
      <c r="D47" s="89" t="s">
        <v>152</v>
      </c>
      <c r="E47" s="28" t="s">
        <v>320</v>
      </c>
      <c r="F47" s="29" t="s">
        <v>147</v>
      </c>
      <c r="G47" s="5" t="s">
        <v>148</v>
      </c>
      <c r="H47" s="5">
        <v>41.0</v>
      </c>
      <c r="I47" s="5" t="s">
        <v>351</v>
      </c>
      <c r="J47" s="5" t="s">
        <v>228</v>
      </c>
      <c r="K47" s="5">
        <v>2026.0</v>
      </c>
      <c r="L47" s="5"/>
      <c r="M47" s="5"/>
      <c r="N47" s="5"/>
      <c r="O47" s="5"/>
    </row>
    <row r="48">
      <c r="A48" s="78" t="s">
        <v>221</v>
      </c>
      <c r="B48" s="78" t="s">
        <v>223</v>
      </c>
      <c r="C48" s="78" t="s">
        <v>223</v>
      </c>
      <c r="D48" s="89" t="s">
        <v>219</v>
      </c>
      <c r="E48" s="28" t="s">
        <v>352</v>
      </c>
      <c r="F48" s="29" t="s">
        <v>128</v>
      </c>
      <c r="G48" s="5" t="s">
        <v>148</v>
      </c>
      <c r="H48" s="5">
        <v>161.0</v>
      </c>
      <c r="I48" s="5" t="s">
        <v>335</v>
      </c>
      <c r="J48" s="5" t="s">
        <v>348</v>
      </c>
      <c r="K48" s="5">
        <v>2026.0</v>
      </c>
      <c r="L48" s="61" t="s">
        <v>356</v>
      </c>
      <c r="M48" s="5" t="s">
        <v>326</v>
      </c>
      <c r="N48" s="5"/>
      <c r="O48" s="5"/>
    </row>
    <row r="49">
      <c r="A49" s="78" t="s">
        <v>266</v>
      </c>
      <c r="B49" s="78" t="s">
        <v>266</v>
      </c>
      <c r="C49" s="78" t="s">
        <v>266</v>
      </c>
      <c r="D49" s="28" t="s">
        <v>103</v>
      </c>
      <c r="E49" s="28" t="s">
        <v>357</v>
      </c>
      <c r="F49" s="29" t="s">
        <v>128</v>
      </c>
      <c r="G49" s="5" t="s">
        <v>148</v>
      </c>
      <c r="H49" s="5">
        <v>10.0</v>
      </c>
      <c r="I49" s="5" t="s">
        <v>335</v>
      </c>
      <c r="J49" s="5" t="s">
        <v>358</v>
      </c>
      <c r="K49" s="5">
        <v>2026.0</v>
      </c>
      <c r="L49" s="5" t="s">
        <v>359</v>
      </c>
      <c r="M49" s="65" t="s">
        <v>345</v>
      </c>
      <c r="N49" s="5"/>
      <c r="O49" s="5"/>
    </row>
    <row r="50">
      <c r="A50" s="78" t="s">
        <v>266</v>
      </c>
      <c r="B50" s="78" t="s">
        <v>266</v>
      </c>
      <c r="C50" s="78" t="s">
        <v>266</v>
      </c>
      <c r="D50" s="28" t="s">
        <v>103</v>
      </c>
      <c r="E50" s="28" t="s">
        <v>357</v>
      </c>
      <c r="F50" s="29" t="s">
        <v>146</v>
      </c>
      <c r="G50" s="5" t="s">
        <v>148</v>
      </c>
      <c r="H50" s="5">
        <v>2.0</v>
      </c>
      <c r="I50" s="28" t="s">
        <v>351</v>
      </c>
      <c r="J50" s="5" t="s">
        <v>323</v>
      </c>
      <c r="K50" s="5">
        <v>2026.0</v>
      </c>
      <c r="L50" s="5"/>
      <c r="M50" s="5"/>
      <c r="N50" s="5"/>
      <c r="O50" s="5"/>
    </row>
  </sheetData>
  <hyperlinks>
    <hyperlink r:id="rId1" ref="O2"/>
    <hyperlink r:id="rId2" ref="O3"/>
    <hyperlink r:id="rId3" ref="O4"/>
    <hyperlink r:id="rId4" ref="O5"/>
    <hyperlink r:id="rId5" ref="O6"/>
    <hyperlink r:id="rId6" ref="O7"/>
    <hyperlink r:id="rId7" ref="O8"/>
    <hyperlink r:id="rId8" ref="O9"/>
    <hyperlink r:id="rId9" ref="O11"/>
    <hyperlink r:id="rId10" ref="O12"/>
    <hyperlink r:id="rId11" ref="O13"/>
    <hyperlink r:id="rId12" ref="O14"/>
  </hyperlinks>
  <drawing r:id="rId13"/>
  <tableParts count="11">
    <tablePart r:id="rId25"/>
    <tablePart r:id="rId26"/>
    <tablePart r:id="rId27"/>
    <tablePart r:id="rId28"/>
    <tablePart r:id="rId29"/>
    <tablePart r:id="rId30"/>
    <tablePart r:id="rId31"/>
    <tablePart r:id="rId32"/>
    <tablePart r:id="rId33"/>
    <tablePart r:id="rId34"/>
    <tablePart r:id="rId3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5"/>
    <col customWidth="1" min="2" max="2" width="45.63"/>
    <col customWidth="1" min="3" max="3" width="28.88"/>
    <col customWidth="1" min="4" max="4" width="37.5"/>
    <col customWidth="1" min="6" max="6" width="13.13"/>
  </cols>
  <sheetData>
    <row r="1">
      <c r="A1" s="10" t="s">
        <v>25</v>
      </c>
      <c r="B1" s="12" t="s">
        <v>27</v>
      </c>
      <c r="C1" s="12" t="s">
        <v>31</v>
      </c>
      <c r="D1" s="12" t="s">
        <v>32</v>
      </c>
      <c r="E1" s="10" t="s">
        <v>34</v>
      </c>
      <c r="F1" s="10" t="s">
        <v>35</v>
      </c>
    </row>
    <row r="2">
      <c r="A2" s="13">
        <v>1.0</v>
      </c>
      <c r="B2" s="14" t="s">
        <v>39</v>
      </c>
      <c r="C2" s="14" t="s">
        <v>41</v>
      </c>
      <c r="D2" s="14" t="s">
        <v>42</v>
      </c>
      <c r="E2" s="13">
        <v>154.0</v>
      </c>
      <c r="F2" s="13" t="s">
        <v>43</v>
      </c>
    </row>
    <row r="3">
      <c r="A3" s="13">
        <v>2.0</v>
      </c>
      <c r="B3" s="14" t="s">
        <v>45</v>
      </c>
      <c r="C3" s="14" t="s">
        <v>46</v>
      </c>
      <c r="D3" s="14" t="s">
        <v>48</v>
      </c>
      <c r="E3" s="13">
        <v>114.0</v>
      </c>
      <c r="F3" s="13" t="s">
        <v>43</v>
      </c>
    </row>
    <row r="4">
      <c r="A4" s="13">
        <v>3.0</v>
      </c>
      <c r="B4" s="14" t="s">
        <v>50</v>
      </c>
      <c r="C4" s="14" t="s">
        <v>52</v>
      </c>
      <c r="D4" s="14" t="s">
        <v>53</v>
      </c>
      <c r="E4" s="13">
        <v>108.0</v>
      </c>
      <c r="F4" s="13" t="s">
        <v>43</v>
      </c>
    </row>
    <row r="5">
      <c r="A5" s="13">
        <v>4.0</v>
      </c>
      <c r="B5" s="14" t="s">
        <v>55</v>
      </c>
      <c r="C5" s="14" t="s">
        <v>57</v>
      </c>
      <c r="D5" s="14" t="s">
        <v>58</v>
      </c>
      <c r="E5" s="13">
        <v>103.0</v>
      </c>
      <c r="F5" s="13" t="s">
        <v>43</v>
      </c>
    </row>
    <row r="6">
      <c r="A6" s="13">
        <v>5.0</v>
      </c>
      <c r="B6" s="14" t="s">
        <v>60</v>
      </c>
      <c r="C6" s="14" t="s">
        <v>62</v>
      </c>
      <c r="D6" s="14" t="s">
        <v>63</v>
      </c>
      <c r="E6" s="13">
        <v>96.0</v>
      </c>
      <c r="F6" s="13" t="s">
        <v>43</v>
      </c>
    </row>
    <row r="7">
      <c r="A7" s="13">
        <v>6.0</v>
      </c>
      <c r="B7" s="14" t="s">
        <v>66</v>
      </c>
      <c r="C7" s="14" t="s">
        <v>67</v>
      </c>
      <c r="D7" s="14" t="s">
        <v>69</v>
      </c>
      <c r="E7" s="13">
        <v>89.0</v>
      </c>
      <c r="F7" s="13" t="s">
        <v>43</v>
      </c>
    </row>
    <row r="8">
      <c r="A8" s="13">
        <v>7.0</v>
      </c>
      <c r="B8" s="14" t="s">
        <v>71</v>
      </c>
      <c r="C8" s="14" t="s">
        <v>72</v>
      </c>
      <c r="D8" s="14" t="s">
        <v>74</v>
      </c>
      <c r="E8" s="13">
        <v>82.0</v>
      </c>
      <c r="F8" s="13" t="s">
        <v>43</v>
      </c>
    </row>
    <row r="9">
      <c r="A9" s="13">
        <v>8.0</v>
      </c>
      <c r="B9" s="14" t="s">
        <v>77</v>
      </c>
      <c r="C9" s="14" t="s">
        <v>78</v>
      </c>
      <c r="D9" s="14" t="s">
        <v>80</v>
      </c>
      <c r="E9" s="13">
        <v>81.0</v>
      </c>
      <c r="F9" s="13" t="s">
        <v>43</v>
      </c>
    </row>
    <row r="10">
      <c r="A10" s="13">
        <v>9.0</v>
      </c>
      <c r="B10" s="14" t="s">
        <v>84</v>
      </c>
      <c r="C10" s="14" t="s">
        <v>86</v>
      </c>
      <c r="D10" s="14" t="s">
        <v>88</v>
      </c>
      <c r="E10" s="13">
        <v>80.0</v>
      </c>
      <c r="F10" s="13" t="s">
        <v>43</v>
      </c>
    </row>
    <row r="11">
      <c r="A11" s="13">
        <v>10.0</v>
      </c>
      <c r="B11" s="14" t="s">
        <v>91</v>
      </c>
      <c r="C11" s="14" t="s">
        <v>92</v>
      </c>
      <c r="D11" s="14" t="s">
        <v>94</v>
      </c>
      <c r="E11" s="13">
        <v>77.0</v>
      </c>
      <c r="F11" s="13" t="s">
        <v>43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hidden="1" min="1" max="2" width="30.0"/>
    <col customWidth="1" hidden="1" min="3" max="3" width="52.63"/>
    <col customWidth="1" min="4" max="4" width="9.63"/>
    <col customWidth="1" min="5" max="5" width="10.25"/>
    <col customWidth="1" min="6" max="6" width="10.88"/>
    <col customWidth="1" min="7" max="7" width="37.38"/>
    <col customWidth="1" min="8" max="8" width="16.0"/>
    <col customWidth="1" min="9" max="9" width="17.13"/>
    <col customWidth="1" min="10" max="10" width="13.5"/>
    <col customWidth="1" min="11" max="11" width="19.25"/>
    <col customWidth="1" min="12" max="12" width="16.25"/>
    <col customWidth="1" min="13" max="13" width="13.38"/>
    <col customWidth="1" min="14" max="14" width="11.75"/>
    <col customWidth="1" min="15" max="15" width="12.38"/>
    <col customWidth="1" min="16" max="16" width="17.25"/>
    <col customWidth="1" min="17" max="17" width="13.5"/>
    <col customWidth="1" min="18" max="18" width="18.5"/>
    <col customWidth="1" min="19" max="19" width="30.0"/>
  </cols>
  <sheetData>
    <row r="1">
      <c r="A1" s="21" t="s">
        <v>108</v>
      </c>
      <c r="B1" s="21" t="s">
        <v>113</v>
      </c>
      <c r="C1" s="21" t="s">
        <v>2</v>
      </c>
      <c r="D1" s="23" t="s">
        <v>117</v>
      </c>
      <c r="E1" s="23" t="s">
        <v>121</v>
      </c>
      <c r="F1" s="23" t="s">
        <v>79</v>
      </c>
      <c r="G1" s="23" t="s">
        <v>83</v>
      </c>
      <c r="H1" s="26" t="s">
        <v>128</v>
      </c>
      <c r="I1" s="26" t="s">
        <v>131</v>
      </c>
      <c r="J1" s="26" t="s">
        <v>133</v>
      </c>
      <c r="K1" s="26" t="s">
        <v>134</v>
      </c>
      <c r="L1" s="26" t="s">
        <v>135</v>
      </c>
      <c r="M1" s="26" t="s">
        <v>137</v>
      </c>
      <c r="N1" s="26" t="s">
        <v>142</v>
      </c>
      <c r="O1" s="26" t="s">
        <v>144</v>
      </c>
      <c r="P1" s="26" t="s">
        <v>145</v>
      </c>
      <c r="Q1" s="26" t="s">
        <v>146</v>
      </c>
      <c r="R1" s="26" t="s">
        <v>147</v>
      </c>
      <c r="S1" s="30"/>
    </row>
    <row r="2">
      <c r="A2" s="31" t="s">
        <v>149</v>
      </c>
      <c r="B2" s="31" t="s">
        <v>51</v>
      </c>
      <c r="C2" s="31" t="s">
        <v>152</v>
      </c>
      <c r="D2" s="31" t="s">
        <v>130</v>
      </c>
      <c r="E2" s="31" t="s">
        <v>130</v>
      </c>
      <c r="F2" s="31" t="s">
        <v>153</v>
      </c>
      <c r="G2" s="31" t="s">
        <v>152</v>
      </c>
      <c r="H2" s="31">
        <v>1000.0</v>
      </c>
      <c r="I2" s="31">
        <v>0.0</v>
      </c>
      <c r="J2" s="31">
        <v>0.0</v>
      </c>
      <c r="K2" s="31">
        <v>0.0</v>
      </c>
      <c r="L2" s="31">
        <v>1600.0</v>
      </c>
      <c r="M2" s="31">
        <v>0.0</v>
      </c>
      <c r="N2" s="31">
        <v>0.0</v>
      </c>
      <c r="O2" s="31">
        <v>0.0</v>
      </c>
      <c r="P2" s="31">
        <v>0.0</v>
      </c>
      <c r="Q2" s="31">
        <v>1500.0</v>
      </c>
      <c r="R2" s="31">
        <v>0.0</v>
      </c>
      <c r="S2" s="35"/>
    </row>
    <row r="3">
      <c r="A3" s="31" t="s">
        <v>165</v>
      </c>
      <c r="B3" s="31" t="s">
        <v>166</v>
      </c>
      <c r="C3" s="31" t="s">
        <v>167</v>
      </c>
      <c r="D3" s="37" t="s">
        <v>17</v>
      </c>
      <c r="E3" s="31" t="s">
        <v>17</v>
      </c>
      <c r="F3" s="31" t="s">
        <v>172</v>
      </c>
      <c r="G3" s="31" t="s">
        <v>167</v>
      </c>
      <c r="H3" s="31">
        <v>0.0</v>
      </c>
      <c r="I3" s="31">
        <v>216.0</v>
      </c>
      <c r="J3" s="31">
        <v>548.0</v>
      </c>
      <c r="K3" s="31">
        <v>0.0</v>
      </c>
      <c r="L3" s="31">
        <v>0.0</v>
      </c>
      <c r="M3" s="31">
        <v>157.0</v>
      </c>
      <c r="N3" s="31">
        <v>881.0</v>
      </c>
      <c r="O3" s="31">
        <v>0.0</v>
      </c>
      <c r="P3" s="31">
        <v>42.0</v>
      </c>
      <c r="Q3" s="31">
        <v>0.0</v>
      </c>
      <c r="R3" s="31">
        <v>58.0</v>
      </c>
      <c r="S3" s="35"/>
    </row>
    <row r="4">
      <c r="A4" s="31" t="s">
        <v>183</v>
      </c>
      <c r="B4" s="31" t="s">
        <v>61</v>
      </c>
      <c r="C4" s="37" t="s">
        <v>186</v>
      </c>
      <c r="D4" s="37" t="s">
        <v>187</v>
      </c>
      <c r="E4" s="31" t="s">
        <v>189</v>
      </c>
      <c r="F4" s="31" t="s">
        <v>187</v>
      </c>
      <c r="G4" s="37" t="s">
        <v>186</v>
      </c>
      <c r="H4" s="31">
        <v>250.0</v>
      </c>
      <c r="I4" s="31">
        <v>0.0</v>
      </c>
      <c r="J4" s="31">
        <v>0.0</v>
      </c>
      <c r="K4" s="31">
        <v>10.0</v>
      </c>
      <c r="L4" s="31">
        <v>0.0</v>
      </c>
      <c r="M4" s="31">
        <v>0.0</v>
      </c>
      <c r="N4" s="31">
        <v>0.0</v>
      </c>
      <c r="O4" s="31">
        <v>0.0</v>
      </c>
      <c r="P4" s="31">
        <v>0.0</v>
      </c>
      <c r="Q4" s="31">
        <v>10.0</v>
      </c>
      <c r="R4" s="31">
        <v>0.0</v>
      </c>
      <c r="S4" s="35"/>
    </row>
    <row r="5">
      <c r="A5" s="31" t="s">
        <v>200</v>
      </c>
      <c r="B5" s="31" t="s">
        <v>202</v>
      </c>
      <c r="C5" s="37" t="s">
        <v>174</v>
      </c>
      <c r="D5" s="31" t="s">
        <v>33</v>
      </c>
      <c r="E5" s="31" t="s">
        <v>33</v>
      </c>
      <c r="F5" s="31" t="s">
        <v>33</v>
      </c>
      <c r="G5" s="37" t="s">
        <v>174</v>
      </c>
      <c r="H5" s="31">
        <v>850.0</v>
      </c>
      <c r="I5" s="31">
        <v>60.0</v>
      </c>
      <c r="J5" s="31">
        <v>48.0</v>
      </c>
      <c r="K5" s="31">
        <v>350.0</v>
      </c>
      <c r="L5" s="31">
        <v>10.0</v>
      </c>
      <c r="M5" s="31">
        <v>0.0</v>
      </c>
      <c r="N5" s="31">
        <v>120.0</v>
      </c>
      <c r="O5" s="31">
        <v>0.0</v>
      </c>
      <c r="P5" s="31">
        <v>0.0</v>
      </c>
      <c r="Q5" s="31">
        <v>450.0</v>
      </c>
      <c r="R5" s="31">
        <v>5.0</v>
      </c>
      <c r="S5" s="35"/>
    </row>
    <row r="6">
      <c r="A6" s="31" t="s">
        <v>215</v>
      </c>
      <c r="B6" s="31" t="s">
        <v>217</v>
      </c>
      <c r="C6" s="31" t="s">
        <v>219</v>
      </c>
      <c r="D6" s="31" t="s">
        <v>221</v>
      </c>
      <c r="E6" s="31" t="s">
        <v>223</v>
      </c>
      <c r="F6" s="31" t="s">
        <v>223</v>
      </c>
      <c r="G6" s="31" t="s">
        <v>219</v>
      </c>
      <c r="H6" s="31">
        <v>150.0</v>
      </c>
      <c r="I6" s="31">
        <v>10.0</v>
      </c>
      <c r="J6" s="31">
        <v>10.0</v>
      </c>
      <c r="K6" s="31">
        <v>0.0</v>
      </c>
      <c r="L6" s="31">
        <v>5.0</v>
      </c>
      <c r="M6" s="31">
        <v>0.0</v>
      </c>
      <c r="N6" s="31">
        <v>10.0</v>
      </c>
      <c r="O6" s="31">
        <v>0.0</v>
      </c>
      <c r="P6" s="31">
        <v>0.0</v>
      </c>
      <c r="Q6" s="31">
        <v>0.0</v>
      </c>
      <c r="R6" s="31">
        <v>0.0</v>
      </c>
      <c r="S6" s="35"/>
    </row>
    <row r="7">
      <c r="A7" s="31" t="s">
        <v>226</v>
      </c>
      <c r="B7" s="31" t="s">
        <v>141</v>
      </c>
      <c r="C7" s="31" t="s">
        <v>152</v>
      </c>
      <c r="D7" s="31" t="s">
        <v>130</v>
      </c>
      <c r="E7" s="31" t="s">
        <v>130</v>
      </c>
      <c r="F7" s="31" t="s">
        <v>153</v>
      </c>
      <c r="G7" s="31" t="s">
        <v>152</v>
      </c>
      <c r="H7" s="31">
        <v>520.0</v>
      </c>
      <c r="I7" s="31">
        <v>0.0</v>
      </c>
      <c r="J7" s="31">
        <v>0.0</v>
      </c>
      <c r="K7" s="31">
        <v>0.0</v>
      </c>
      <c r="L7" s="31">
        <v>1600.0</v>
      </c>
      <c r="M7" s="31">
        <v>0.0</v>
      </c>
      <c r="N7" s="31">
        <v>0.0</v>
      </c>
      <c r="O7" s="31">
        <v>0.0</v>
      </c>
      <c r="P7" s="31">
        <v>0.0</v>
      </c>
      <c r="Q7" s="31">
        <v>1200.0</v>
      </c>
      <c r="R7" s="31">
        <v>0.0</v>
      </c>
      <c r="S7" s="35"/>
    </row>
    <row r="8">
      <c r="A8" s="31" t="s">
        <v>229</v>
      </c>
      <c r="B8" s="31" t="s">
        <v>207</v>
      </c>
      <c r="C8" s="31" t="s">
        <v>152</v>
      </c>
      <c r="D8" s="37" t="s">
        <v>130</v>
      </c>
      <c r="E8" s="37" t="s">
        <v>47</v>
      </c>
      <c r="F8" s="31" t="s">
        <v>153</v>
      </c>
      <c r="G8" s="31" t="s">
        <v>152</v>
      </c>
      <c r="H8" s="31">
        <v>0.0</v>
      </c>
      <c r="I8" s="31">
        <v>100.0</v>
      </c>
      <c r="J8" s="31">
        <v>200.0</v>
      </c>
      <c r="K8" s="31">
        <v>0.0</v>
      </c>
      <c r="L8" s="31">
        <v>0.0</v>
      </c>
      <c r="M8" s="31">
        <v>0.0</v>
      </c>
      <c r="N8" s="31">
        <v>200.0</v>
      </c>
      <c r="O8" s="31">
        <v>0.0</v>
      </c>
      <c r="P8" s="47" t="s">
        <v>241</v>
      </c>
      <c r="Q8" s="31">
        <v>0.0</v>
      </c>
      <c r="R8" s="31">
        <v>41.0</v>
      </c>
      <c r="S8" s="35"/>
    </row>
    <row r="9">
      <c r="A9" s="31" t="s">
        <v>244</v>
      </c>
      <c r="B9" s="31" t="s">
        <v>245</v>
      </c>
      <c r="C9" s="31" t="s">
        <v>247</v>
      </c>
      <c r="D9" s="37" t="s">
        <v>221</v>
      </c>
      <c r="E9" s="31" t="s">
        <v>248</v>
      </c>
      <c r="F9" s="37" t="s">
        <v>223</v>
      </c>
      <c r="G9" s="31" t="s">
        <v>219</v>
      </c>
      <c r="H9" s="31">
        <v>161.0</v>
      </c>
      <c r="I9" s="31">
        <v>0.0</v>
      </c>
      <c r="J9" s="31">
        <v>0.0</v>
      </c>
      <c r="K9" s="31">
        <v>0.0</v>
      </c>
      <c r="L9" s="31">
        <v>0.0</v>
      </c>
      <c r="M9" s="31">
        <v>0.0</v>
      </c>
      <c r="N9" s="31">
        <v>0.0</v>
      </c>
      <c r="O9" s="31">
        <v>0.0</v>
      </c>
      <c r="P9" s="31">
        <v>0.0</v>
      </c>
      <c r="Q9" s="31">
        <v>0.0</v>
      </c>
      <c r="R9" s="31">
        <v>0.0</v>
      </c>
      <c r="S9" s="35"/>
    </row>
    <row r="10">
      <c r="A10" s="31" t="s">
        <v>261</v>
      </c>
      <c r="B10" s="31" t="s">
        <v>109</v>
      </c>
      <c r="C10" s="31" t="s">
        <v>103</v>
      </c>
      <c r="D10" s="31" t="s">
        <v>266</v>
      </c>
      <c r="E10" s="31" t="s">
        <v>266</v>
      </c>
      <c r="F10" s="31" t="s">
        <v>266</v>
      </c>
      <c r="G10" s="31" t="s">
        <v>103</v>
      </c>
      <c r="H10" s="31">
        <v>10.0</v>
      </c>
      <c r="I10" s="31">
        <v>0.0</v>
      </c>
      <c r="J10" s="31">
        <v>0.0</v>
      </c>
      <c r="K10" s="31">
        <v>0.0</v>
      </c>
      <c r="L10" s="31">
        <v>0.0</v>
      </c>
      <c r="M10" s="31">
        <v>0.0</v>
      </c>
      <c r="N10" s="31">
        <v>0.0</v>
      </c>
      <c r="O10" s="31">
        <v>0.0</v>
      </c>
      <c r="P10" s="31">
        <v>0.0</v>
      </c>
      <c r="Q10" s="31">
        <v>2.0</v>
      </c>
      <c r="R10" s="31">
        <v>0.0</v>
      </c>
      <c r="S10" s="35"/>
    </row>
    <row r="11">
      <c r="A11" s="37" t="s">
        <v>276</v>
      </c>
      <c r="B11" s="58" t="s">
        <v>277</v>
      </c>
      <c r="C11" s="37" t="s">
        <v>276</v>
      </c>
      <c r="D11" s="60" t="s">
        <v>130</v>
      </c>
      <c r="E11" s="60" t="s">
        <v>136</v>
      </c>
      <c r="F11" s="61" t="s">
        <v>138</v>
      </c>
      <c r="G11" s="61" t="s">
        <v>140</v>
      </c>
      <c r="H11" s="37">
        <v>20.0</v>
      </c>
      <c r="I11" s="28">
        <v>224.0</v>
      </c>
      <c r="J11" s="37">
        <v>192.0</v>
      </c>
      <c r="K11" s="37">
        <v>0.0</v>
      </c>
      <c r="L11" s="37">
        <v>0.0</v>
      </c>
      <c r="M11" s="28">
        <v>0.0</v>
      </c>
      <c r="N11" s="28">
        <v>941.0</v>
      </c>
      <c r="O11" s="28">
        <v>0.0</v>
      </c>
      <c r="P11" s="28">
        <v>0.0</v>
      </c>
      <c r="Q11" s="28">
        <v>0.0</v>
      </c>
      <c r="R11" s="28">
        <v>0.0</v>
      </c>
      <c r="S11" s="65"/>
    </row>
    <row r="12">
      <c r="A12" s="37" t="s">
        <v>276</v>
      </c>
      <c r="B12" s="58" t="s">
        <v>277</v>
      </c>
      <c r="C12" s="37" t="s">
        <v>276</v>
      </c>
      <c r="D12" s="61" t="s">
        <v>169</v>
      </c>
      <c r="E12" s="61" t="s">
        <v>169</v>
      </c>
      <c r="F12" s="28" t="s">
        <v>173</v>
      </c>
      <c r="G12" s="60" t="s">
        <v>176</v>
      </c>
      <c r="H12" s="37">
        <v>0.0</v>
      </c>
      <c r="I12" s="28">
        <v>0.0</v>
      </c>
      <c r="J12" s="37">
        <v>0.0</v>
      </c>
      <c r="K12" s="37">
        <v>0.0</v>
      </c>
      <c r="L12" s="37">
        <v>388.0</v>
      </c>
      <c r="M12" s="28">
        <v>0.0</v>
      </c>
      <c r="N12" s="28">
        <v>0.0</v>
      </c>
      <c r="O12" s="28">
        <v>0.0</v>
      </c>
      <c r="P12" s="28">
        <v>0.0</v>
      </c>
      <c r="Q12" s="28">
        <v>0.0</v>
      </c>
      <c r="R12" s="28">
        <v>214.0</v>
      </c>
      <c r="S12" s="65"/>
    </row>
    <row r="13">
      <c r="A13" s="37" t="s">
        <v>276</v>
      </c>
      <c r="B13" s="58" t="s">
        <v>277</v>
      </c>
      <c r="C13" s="37" t="s">
        <v>276</v>
      </c>
      <c r="D13" s="60" t="s">
        <v>33</v>
      </c>
      <c r="E13" s="31" t="s">
        <v>33</v>
      </c>
      <c r="F13" s="31" t="s">
        <v>33</v>
      </c>
      <c r="G13" s="61" t="s">
        <v>238</v>
      </c>
      <c r="H13" s="37">
        <v>1383.0</v>
      </c>
      <c r="I13" s="28">
        <v>0.0</v>
      </c>
      <c r="J13" s="37">
        <v>0.0</v>
      </c>
      <c r="K13" s="37">
        <v>253.0</v>
      </c>
      <c r="L13" s="37">
        <v>0.0</v>
      </c>
      <c r="M13" s="28">
        <v>0.0</v>
      </c>
      <c r="N13" s="28">
        <v>0.0</v>
      </c>
      <c r="O13" s="28">
        <v>0.0</v>
      </c>
      <c r="P13" s="28">
        <v>0.0</v>
      </c>
      <c r="Q13" s="28">
        <v>0.0</v>
      </c>
      <c r="R13" s="28">
        <v>0.0</v>
      </c>
      <c r="S13" s="65"/>
    </row>
    <row r="14">
      <c r="A14" s="37" t="s">
        <v>276</v>
      </c>
      <c r="B14" s="58" t="s">
        <v>277</v>
      </c>
      <c r="C14" s="37" t="s">
        <v>276</v>
      </c>
      <c r="D14" s="61" t="s">
        <v>288</v>
      </c>
      <c r="E14" s="60" t="s">
        <v>289</v>
      </c>
      <c r="F14" s="61" t="s">
        <v>290</v>
      </c>
      <c r="G14" s="60" t="s">
        <v>291</v>
      </c>
      <c r="H14" s="37">
        <v>0.0</v>
      </c>
      <c r="I14" s="28">
        <v>0.0</v>
      </c>
      <c r="J14" s="37">
        <v>0.0</v>
      </c>
      <c r="K14" s="37">
        <v>0.0</v>
      </c>
      <c r="L14" s="37">
        <v>0.0</v>
      </c>
      <c r="M14" s="28">
        <v>21.0</v>
      </c>
      <c r="N14" s="28">
        <v>0.0</v>
      </c>
      <c r="O14" s="28">
        <v>0.0</v>
      </c>
      <c r="P14" s="28">
        <v>235.0</v>
      </c>
      <c r="Q14" s="28">
        <v>180.0</v>
      </c>
      <c r="R14" s="28">
        <v>0.0</v>
      </c>
      <c r="S14" s="65"/>
    </row>
    <row r="15">
      <c r="A15" s="37" t="s">
        <v>276</v>
      </c>
      <c r="B15" s="58" t="s">
        <v>277</v>
      </c>
      <c r="C15" s="37" t="s">
        <v>276</v>
      </c>
      <c r="D15" s="60" t="s">
        <v>221</v>
      </c>
      <c r="E15" s="61" t="s">
        <v>223</v>
      </c>
      <c r="F15" s="61" t="s">
        <v>223</v>
      </c>
      <c r="G15" s="60" t="s">
        <v>268</v>
      </c>
      <c r="H15" s="37">
        <v>0.0</v>
      </c>
      <c r="I15" s="28">
        <v>0.0</v>
      </c>
      <c r="J15" s="37">
        <v>0.0</v>
      </c>
      <c r="K15" s="37">
        <v>0.0</v>
      </c>
      <c r="L15" s="37">
        <v>0.0</v>
      </c>
      <c r="M15" s="28">
        <v>0.0</v>
      </c>
      <c r="N15" s="28">
        <v>0.0</v>
      </c>
      <c r="O15" s="28">
        <v>0.0</v>
      </c>
      <c r="P15" s="28">
        <v>0.0</v>
      </c>
      <c r="Q15" s="28">
        <v>2.0</v>
      </c>
      <c r="R15" s="28">
        <v>0.0</v>
      </c>
      <c r="S15" s="65"/>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25"/>
    <col customWidth="1" min="2" max="2" width="17.0"/>
    <col customWidth="1" min="3" max="3" width="11.25"/>
    <col customWidth="1" min="4" max="4" width="41.25"/>
    <col customWidth="1" hidden="1" min="5" max="5" width="4.0"/>
    <col customWidth="1" hidden="1" min="6" max="6" width="38.13"/>
    <col customWidth="1" hidden="1" min="7" max="7" width="11.25"/>
    <col customWidth="1" hidden="1" min="8" max="8" width="6.25"/>
    <col customWidth="1" hidden="1" min="9" max="9" width="4.63"/>
  </cols>
  <sheetData>
    <row r="1" ht="23.25" customHeight="1">
      <c r="A1" s="20" t="s">
        <v>106</v>
      </c>
      <c r="B1" s="20" t="s">
        <v>110</v>
      </c>
      <c r="C1" s="20" t="s">
        <v>112</v>
      </c>
      <c r="D1" s="20" t="s">
        <v>114</v>
      </c>
      <c r="E1" s="22" t="s">
        <v>116</v>
      </c>
      <c r="F1" s="24" t="s">
        <v>120</v>
      </c>
      <c r="G1" s="24" t="s">
        <v>124</v>
      </c>
      <c r="H1" s="24" t="s">
        <v>125</v>
      </c>
      <c r="I1" s="24"/>
    </row>
    <row r="2">
      <c r="A2" s="25" t="s">
        <v>127</v>
      </c>
      <c r="B2" s="25" t="str">
        <f t="shared" ref="B2:B12" si="1">MID(A2,FIND(" ",A2) + 1 + 1,FIND(")",A2) - 1 - (FIND(" ",A2) + 1))</f>
        <v>Amaranthus caudatus</v>
      </c>
      <c r="C2" s="25" t="str">
        <f t="shared" ref="C2:C12" si="2">LEFT(A2,FIND(" ",A2) - 1)</f>
        <v>Kiwicha</v>
      </c>
      <c r="D2" s="32" t="s">
        <v>158</v>
      </c>
      <c r="E2" s="32">
        <v>35.0</v>
      </c>
      <c r="F2" s="33">
        <v>34.0</v>
      </c>
      <c r="G2" s="33">
        <v>34.0</v>
      </c>
      <c r="H2" s="33">
        <v>27.0</v>
      </c>
      <c r="I2" s="34"/>
    </row>
    <row r="3">
      <c r="A3" s="25" t="s">
        <v>162</v>
      </c>
      <c r="B3" s="25" t="str">
        <f t="shared" si="1"/>
        <v>Arracacia xanthorrhiza</v>
      </c>
      <c r="C3" s="25" t="str">
        <f t="shared" si="2"/>
        <v>Arracacha</v>
      </c>
      <c r="D3" s="32" t="s">
        <v>164</v>
      </c>
      <c r="E3" s="32">
        <v>9.0</v>
      </c>
      <c r="F3" s="32">
        <v>8.0</v>
      </c>
      <c r="G3" s="32">
        <v>8.0</v>
      </c>
      <c r="H3" s="32">
        <v>6.0</v>
      </c>
      <c r="I3" s="32"/>
    </row>
    <row r="4">
      <c r="A4" s="25" t="s">
        <v>170</v>
      </c>
      <c r="B4" s="25" t="str">
        <f t="shared" si="1"/>
        <v>Chenopodium pallidicaule</v>
      </c>
      <c r="C4" s="25" t="str">
        <f t="shared" si="2"/>
        <v>Cañihua</v>
      </c>
      <c r="D4" s="32" t="s">
        <v>175</v>
      </c>
      <c r="E4" s="32">
        <v>4.0</v>
      </c>
      <c r="F4" s="33">
        <v>4.0</v>
      </c>
      <c r="G4" s="33">
        <v>4.0</v>
      </c>
      <c r="H4" s="33">
        <v>4.0</v>
      </c>
      <c r="I4" s="34"/>
    </row>
    <row r="5">
      <c r="A5" s="25" t="s">
        <v>179</v>
      </c>
      <c r="B5" s="25" t="str">
        <f t="shared" si="1"/>
        <v>Chenopodium quinoa</v>
      </c>
      <c r="C5" s="25" t="str">
        <f t="shared" si="2"/>
        <v>Quinua</v>
      </c>
      <c r="D5" s="32" t="s">
        <v>181</v>
      </c>
      <c r="E5" s="32">
        <v>111.0</v>
      </c>
      <c r="F5" s="25">
        <v>101.0</v>
      </c>
      <c r="G5" s="25">
        <v>98.0</v>
      </c>
      <c r="H5" s="25">
        <v>81.0</v>
      </c>
      <c r="I5" s="39">
        <v>1.0</v>
      </c>
    </row>
    <row r="6">
      <c r="A6" s="25" t="s">
        <v>184</v>
      </c>
      <c r="B6" s="25" t="str">
        <f t="shared" si="1"/>
        <v>Lepidium meyenii</v>
      </c>
      <c r="C6" s="25" t="str">
        <f t="shared" si="2"/>
        <v>Maca</v>
      </c>
      <c r="D6" s="32" t="s">
        <v>188</v>
      </c>
      <c r="E6" s="32">
        <v>2.0</v>
      </c>
      <c r="F6" s="33">
        <v>2.0</v>
      </c>
      <c r="G6" s="33">
        <v>2.0</v>
      </c>
      <c r="H6" s="33">
        <v>0.0</v>
      </c>
      <c r="I6" s="34"/>
    </row>
    <row r="7">
      <c r="A7" s="25" t="s">
        <v>193</v>
      </c>
      <c r="B7" s="25" t="str">
        <f t="shared" si="1"/>
        <v>Lupinus mutabilis</v>
      </c>
      <c r="C7" s="25" t="str">
        <f t="shared" si="2"/>
        <v>Tarwi</v>
      </c>
      <c r="D7" s="32" t="s">
        <v>196</v>
      </c>
      <c r="E7" s="32">
        <v>15.0</v>
      </c>
      <c r="F7" s="32">
        <v>15.0</v>
      </c>
      <c r="G7" s="32">
        <v>14.0</v>
      </c>
      <c r="H7" s="32">
        <v>13.0</v>
      </c>
      <c r="I7" s="32"/>
    </row>
    <row r="8">
      <c r="A8" s="25" t="s">
        <v>199</v>
      </c>
      <c r="B8" s="25" t="str">
        <f t="shared" si="1"/>
        <v>Oxalis tuberosa</v>
      </c>
      <c r="C8" s="25" t="str">
        <f t="shared" si="2"/>
        <v>Oca</v>
      </c>
      <c r="D8" s="32" t="s">
        <v>203</v>
      </c>
      <c r="E8" s="32">
        <v>11.0</v>
      </c>
      <c r="F8" s="32">
        <v>10.0</v>
      </c>
      <c r="G8" s="32">
        <v>10.0</v>
      </c>
      <c r="H8" s="32">
        <v>7.0</v>
      </c>
      <c r="I8" s="32"/>
    </row>
    <row r="9">
      <c r="A9" s="25" t="s">
        <v>206</v>
      </c>
      <c r="B9" s="25" t="str">
        <f t="shared" si="1"/>
        <v>Salvia hispanica</v>
      </c>
      <c r="C9" s="25" t="str">
        <f t="shared" si="2"/>
        <v>Chía</v>
      </c>
      <c r="D9" s="32" t="s">
        <v>208</v>
      </c>
      <c r="E9" s="32">
        <v>11.0</v>
      </c>
      <c r="F9" s="32">
        <v>11.0</v>
      </c>
      <c r="G9" s="32">
        <v>11.0</v>
      </c>
      <c r="H9" s="32">
        <v>7.0</v>
      </c>
      <c r="I9" s="32"/>
    </row>
    <row r="10">
      <c r="A10" s="25" t="s">
        <v>209</v>
      </c>
      <c r="B10" s="25" t="str">
        <f t="shared" si="1"/>
        <v>Smallanthus sonchifolius</v>
      </c>
      <c r="C10" s="25" t="str">
        <f t="shared" si="2"/>
        <v>Yacón</v>
      </c>
      <c r="D10" s="32" t="s">
        <v>211</v>
      </c>
      <c r="E10" s="32">
        <v>6.0</v>
      </c>
      <c r="F10" s="32">
        <v>6.0</v>
      </c>
      <c r="G10" s="32">
        <v>5.0</v>
      </c>
      <c r="H10" s="32">
        <v>4.0</v>
      </c>
      <c r="I10" s="32">
        <v>1.0</v>
      </c>
    </row>
    <row r="11">
      <c r="A11" s="25" t="s">
        <v>213</v>
      </c>
      <c r="B11" s="25" t="str">
        <f t="shared" si="1"/>
        <v>Tropaeolum tuberosum</v>
      </c>
      <c r="C11" s="25" t="str">
        <f t="shared" si="2"/>
        <v>Mashua</v>
      </c>
      <c r="D11" s="32" t="s">
        <v>216</v>
      </c>
      <c r="E11" s="32">
        <v>9.0</v>
      </c>
      <c r="F11" s="33">
        <v>7.0</v>
      </c>
      <c r="G11" s="33">
        <v>7.0</v>
      </c>
      <c r="H11" s="33">
        <v>5.0</v>
      </c>
      <c r="I11" s="34">
        <v>11.0</v>
      </c>
    </row>
    <row r="12">
      <c r="A12" s="42" t="s">
        <v>224</v>
      </c>
      <c r="B12" s="42" t="str">
        <f t="shared" si="1"/>
        <v>Ullucus tuberosus</v>
      </c>
      <c r="C12" s="42" t="str">
        <f t="shared" si="2"/>
        <v>Olluco</v>
      </c>
      <c r="D12" s="43" t="s">
        <v>225</v>
      </c>
      <c r="E12" s="32">
        <v>9.0</v>
      </c>
      <c r="F12" s="33">
        <v>8.0</v>
      </c>
      <c r="G12" s="33">
        <v>8.0</v>
      </c>
      <c r="H12" s="33">
        <v>5.0</v>
      </c>
      <c r="I12" s="34">
        <v>11.0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28.13"/>
    <col customWidth="1" min="3" max="3" width="22.13"/>
    <col customWidth="1" min="4" max="4" width="14.0"/>
    <col customWidth="1" min="5" max="5" width="10.88"/>
    <col customWidth="1" min="6" max="6" width="12.38"/>
    <col customWidth="1" min="7" max="7" width="15.25"/>
    <col customWidth="1" min="8" max="8" width="10.25"/>
    <col customWidth="1" min="9" max="9" width="10.38"/>
    <col customWidth="1" min="10" max="10" width="17.13"/>
    <col customWidth="1" min="11" max="11" width="8.25"/>
    <col customWidth="1" min="12" max="12" width="7.38"/>
    <col customWidth="1" min="13" max="13" width="9.38"/>
    <col customWidth="1" min="14" max="14" width="8.38"/>
    <col customWidth="1" min="15" max="15" width="10.25"/>
    <col customWidth="1" min="16" max="16" width="17.88"/>
    <col customWidth="1" min="17" max="17" width="20.13"/>
  </cols>
  <sheetData>
    <row r="1">
      <c r="A1" s="45" t="s">
        <v>31</v>
      </c>
      <c r="B1" s="45" t="s">
        <v>232</v>
      </c>
      <c r="C1" s="45" t="s">
        <v>233</v>
      </c>
      <c r="D1" s="45" t="s">
        <v>234</v>
      </c>
      <c r="E1" s="45" t="s">
        <v>235</v>
      </c>
      <c r="F1" s="45" t="s">
        <v>236</v>
      </c>
      <c r="G1" s="45" t="s">
        <v>237</v>
      </c>
      <c r="H1" s="45" t="s">
        <v>240</v>
      </c>
      <c r="I1" s="45" t="s">
        <v>242</v>
      </c>
      <c r="J1" s="45" t="s">
        <v>243</v>
      </c>
      <c r="K1" s="45" t="s">
        <v>246</v>
      </c>
      <c r="L1" s="45" t="s">
        <v>249</v>
      </c>
      <c r="M1" s="45" t="s">
        <v>251</v>
      </c>
      <c r="N1" s="45" t="s">
        <v>254</v>
      </c>
      <c r="O1" s="45" t="s">
        <v>257</v>
      </c>
      <c r="P1" s="45" t="s">
        <v>259</v>
      </c>
      <c r="Q1" s="45" t="s">
        <v>262</v>
      </c>
    </row>
    <row r="2">
      <c r="A2" s="51" t="s">
        <v>265</v>
      </c>
      <c r="B2" s="51" t="s">
        <v>267</v>
      </c>
      <c r="C2" s="54" t="s">
        <v>269</v>
      </c>
      <c r="D2" s="57" t="s">
        <v>271</v>
      </c>
      <c r="E2" s="57" t="s">
        <v>271</v>
      </c>
      <c r="F2" s="57" t="s">
        <v>271</v>
      </c>
      <c r="G2" s="59"/>
      <c r="H2" s="57" t="s">
        <v>271</v>
      </c>
      <c r="I2" s="57" t="s">
        <v>271</v>
      </c>
      <c r="J2" s="59"/>
      <c r="K2" s="59"/>
      <c r="L2" s="57" t="s">
        <v>271</v>
      </c>
      <c r="M2" s="59"/>
      <c r="N2" s="59"/>
      <c r="O2" s="57" t="s">
        <v>271</v>
      </c>
      <c r="P2" s="57" t="s">
        <v>271</v>
      </c>
      <c r="Q2" s="57" t="s">
        <v>271</v>
      </c>
    </row>
    <row r="3">
      <c r="A3" s="51" t="s">
        <v>280</v>
      </c>
      <c r="B3" s="66" t="s">
        <v>282</v>
      </c>
      <c r="C3" s="51" t="s">
        <v>283</v>
      </c>
      <c r="D3" s="59"/>
      <c r="E3" s="57" t="s">
        <v>271</v>
      </c>
      <c r="F3" s="59"/>
      <c r="G3" s="59"/>
      <c r="H3" s="57" t="s">
        <v>271</v>
      </c>
      <c r="I3" s="57" t="s">
        <v>271</v>
      </c>
      <c r="J3" s="59"/>
      <c r="K3" s="59"/>
      <c r="L3" s="59"/>
      <c r="M3" s="59"/>
      <c r="N3" s="59"/>
      <c r="O3" s="57" t="s">
        <v>271</v>
      </c>
      <c r="P3" s="57" t="s">
        <v>271</v>
      </c>
      <c r="Q3" s="57" t="s">
        <v>271</v>
      </c>
    </row>
    <row r="4">
      <c r="A4" s="51" t="s">
        <v>292</v>
      </c>
      <c r="B4" s="69" t="s">
        <v>294</v>
      </c>
      <c r="C4" s="70" t="s">
        <v>297</v>
      </c>
      <c r="D4" s="59"/>
      <c r="E4" s="57" t="s">
        <v>271</v>
      </c>
      <c r="F4" s="57" t="s">
        <v>271</v>
      </c>
      <c r="G4" s="59"/>
      <c r="H4" s="59"/>
      <c r="I4" s="57" t="s">
        <v>271</v>
      </c>
      <c r="J4" s="59"/>
      <c r="K4" s="59"/>
      <c r="L4" s="57" t="s">
        <v>271</v>
      </c>
      <c r="M4" s="59"/>
      <c r="N4" s="59"/>
      <c r="O4" s="57" t="s">
        <v>271</v>
      </c>
      <c r="P4" s="57" t="s">
        <v>271</v>
      </c>
      <c r="Q4" s="57" t="s">
        <v>271</v>
      </c>
    </row>
    <row r="5">
      <c r="A5" s="51" t="s">
        <v>165</v>
      </c>
      <c r="B5" s="69" t="s">
        <v>299</v>
      </c>
      <c r="C5" s="74"/>
      <c r="D5" s="59"/>
      <c r="E5" s="59"/>
      <c r="F5" s="59"/>
      <c r="G5" s="59"/>
      <c r="H5" s="59"/>
      <c r="I5" s="59"/>
      <c r="J5" s="57" t="s">
        <v>271</v>
      </c>
      <c r="K5" s="59"/>
      <c r="L5" s="59"/>
      <c r="M5" s="59"/>
      <c r="N5" s="59"/>
      <c r="O5" s="59"/>
      <c r="P5" s="59"/>
      <c r="Q5" s="57" t="s">
        <v>271</v>
      </c>
    </row>
    <row r="6">
      <c r="A6" s="51" t="s">
        <v>303</v>
      </c>
      <c r="B6" s="69" t="s">
        <v>304</v>
      </c>
      <c r="C6" s="70" t="s">
        <v>306</v>
      </c>
      <c r="D6" s="59"/>
      <c r="E6" s="59"/>
      <c r="F6" s="59"/>
      <c r="G6" s="59"/>
      <c r="H6" s="59"/>
      <c r="I6" s="59"/>
      <c r="J6" s="57" t="s">
        <v>271</v>
      </c>
      <c r="K6" s="59"/>
      <c r="L6" s="59"/>
      <c r="M6" s="59"/>
      <c r="N6" s="59"/>
      <c r="O6" s="59"/>
      <c r="P6" s="59"/>
      <c r="Q6" s="57" t="s">
        <v>271</v>
      </c>
    </row>
    <row r="7">
      <c r="A7" s="51" t="s">
        <v>310</v>
      </c>
      <c r="B7" s="69" t="s">
        <v>311</v>
      </c>
      <c r="C7" s="51" t="s">
        <v>312</v>
      </c>
      <c r="D7" s="59"/>
      <c r="E7" s="59"/>
      <c r="F7" s="59"/>
      <c r="G7" s="59"/>
      <c r="H7" s="59"/>
      <c r="I7" s="59"/>
      <c r="J7" s="57" t="s">
        <v>271</v>
      </c>
      <c r="K7" s="59"/>
      <c r="L7" s="59"/>
      <c r="M7" s="59"/>
      <c r="N7" s="59"/>
      <c r="O7" s="59"/>
      <c r="P7" s="59"/>
      <c r="Q7" s="57" t="s">
        <v>271</v>
      </c>
    </row>
    <row r="8">
      <c r="A8" s="51" t="s">
        <v>313</v>
      </c>
      <c r="B8" s="69" t="s">
        <v>314</v>
      </c>
      <c r="C8" s="51" t="s">
        <v>316</v>
      </c>
      <c r="D8" s="59"/>
      <c r="E8" s="59"/>
      <c r="F8" s="59"/>
      <c r="G8" s="59"/>
      <c r="H8" s="59"/>
      <c r="I8" s="59"/>
      <c r="J8" s="57" t="s">
        <v>271</v>
      </c>
      <c r="K8" s="59"/>
      <c r="L8" s="59"/>
      <c r="M8" s="59"/>
      <c r="N8" s="59"/>
      <c r="O8" s="59"/>
      <c r="P8" s="59"/>
      <c r="Q8" s="57" t="s">
        <v>271</v>
      </c>
    </row>
    <row r="9">
      <c r="A9" s="51" t="s">
        <v>318</v>
      </c>
      <c r="B9" s="69" t="s">
        <v>319</v>
      </c>
      <c r="C9" s="74"/>
      <c r="D9" s="59"/>
      <c r="E9" s="59"/>
      <c r="F9" s="59"/>
      <c r="G9" s="59"/>
      <c r="H9" s="59"/>
      <c r="I9" s="59"/>
      <c r="J9" s="57" t="s">
        <v>271</v>
      </c>
      <c r="K9" s="59"/>
      <c r="L9" s="59"/>
      <c r="M9" s="59"/>
      <c r="N9" s="59"/>
      <c r="O9" s="59"/>
      <c r="P9" s="59"/>
      <c r="Q9" s="57" t="s">
        <v>271</v>
      </c>
    </row>
    <row r="10">
      <c r="A10" s="51" t="s">
        <v>321</v>
      </c>
      <c r="B10" s="69" t="s">
        <v>322</v>
      </c>
      <c r="C10" s="51" t="s">
        <v>325</v>
      </c>
      <c r="D10" s="59"/>
      <c r="E10" s="59"/>
      <c r="F10" s="59"/>
      <c r="G10" s="59"/>
      <c r="H10" s="59"/>
      <c r="I10" s="59"/>
      <c r="J10" s="57" t="s">
        <v>271</v>
      </c>
      <c r="K10" s="59"/>
      <c r="L10" s="59"/>
      <c r="M10" s="59"/>
      <c r="N10" s="59"/>
      <c r="O10" s="59"/>
      <c r="P10" s="59"/>
      <c r="Q10" s="57" t="s">
        <v>271</v>
      </c>
    </row>
    <row r="11">
      <c r="A11" s="51" t="s">
        <v>200</v>
      </c>
      <c r="B11" s="69" t="s">
        <v>328</v>
      </c>
      <c r="C11" s="51" t="s">
        <v>329</v>
      </c>
      <c r="D11" s="59"/>
      <c r="E11" s="59"/>
      <c r="F11" s="59"/>
      <c r="G11" s="59"/>
      <c r="H11" s="59"/>
      <c r="I11" s="59"/>
      <c r="J11" s="57" t="s">
        <v>271</v>
      </c>
      <c r="K11" s="59"/>
      <c r="L11" s="59"/>
      <c r="M11" s="59"/>
      <c r="N11" s="59"/>
      <c r="O11" s="59"/>
      <c r="P11" s="59"/>
      <c r="Q11" s="57" t="s">
        <v>271</v>
      </c>
    </row>
    <row r="12">
      <c r="A12" s="51" t="s">
        <v>331</v>
      </c>
      <c r="B12" s="69" t="s">
        <v>332</v>
      </c>
      <c r="C12" s="51" t="s">
        <v>334</v>
      </c>
      <c r="D12" s="59"/>
      <c r="E12" s="59"/>
      <c r="F12" s="59"/>
      <c r="G12" s="59"/>
      <c r="H12" s="59"/>
      <c r="I12" s="59"/>
      <c r="J12" s="57" t="s">
        <v>271</v>
      </c>
      <c r="K12" s="59"/>
      <c r="L12" s="59"/>
      <c r="M12" s="59"/>
      <c r="N12" s="59"/>
      <c r="O12" s="59"/>
      <c r="P12" s="59"/>
      <c r="Q12" s="57" t="s">
        <v>271</v>
      </c>
    </row>
    <row r="13">
      <c r="A13" s="88" t="s">
        <v>337</v>
      </c>
      <c r="B13" s="69" t="s">
        <v>338</v>
      </c>
      <c r="C13" s="88" t="s">
        <v>339</v>
      </c>
      <c r="D13" s="59"/>
      <c r="E13" s="59"/>
      <c r="F13" s="59"/>
      <c r="G13" s="57" t="s">
        <v>271</v>
      </c>
      <c r="H13" s="59"/>
      <c r="I13" s="59"/>
      <c r="J13" s="57" t="s">
        <v>271</v>
      </c>
      <c r="K13" s="57" t="s">
        <v>271</v>
      </c>
      <c r="L13" s="59"/>
      <c r="M13" s="59"/>
      <c r="N13" s="59"/>
      <c r="O13" s="59"/>
      <c r="P13" s="59"/>
      <c r="Q13" s="57" t="s">
        <v>271</v>
      </c>
    </row>
    <row r="14">
      <c r="A14" s="74" t="s">
        <v>340</v>
      </c>
      <c r="B14" s="74" t="s">
        <v>85</v>
      </c>
      <c r="C14" s="74" t="s">
        <v>341</v>
      </c>
      <c r="D14" s="57" t="s">
        <v>271</v>
      </c>
      <c r="E14" s="57" t="s">
        <v>271</v>
      </c>
      <c r="F14" s="57" t="s">
        <v>271</v>
      </c>
      <c r="G14" s="57" t="s">
        <v>271</v>
      </c>
      <c r="H14" s="57" t="s">
        <v>271</v>
      </c>
      <c r="I14" s="57" t="s">
        <v>271</v>
      </c>
      <c r="J14" s="57" t="s">
        <v>271</v>
      </c>
      <c r="K14" s="57" t="s">
        <v>271</v>
      </c>
      <c r="L14" s="57" t="s">
        <v>271</v>
      </c>
      <c r="M14" s="57" t="s">
        <v>271</v>
      </c>
      <c r="N14" s="57" t="s">
        <v>271</v>
      </c>
      <c r="O14" s="57" t="s">
        <v>271</v>
      </c>
      <c r="P14" s="57" t="s">
        <v>271</v>
      </c>
      <c r="Q14" s="57" t="s">
        <v>271</v>
      </c>
    </row>
  </sheetData>
  <hyperlinks>
    <hyperlink r:id="rId2" ref="B4"/>
    <hyperlink r:id="rId3" ref="B5"/>
    <hyperlink r:id="rId4" ref="B6"/>
    <hyperlink r:id="rId5" ref="B7"/>
    <hyperlink r:id="rId6" ref="B8"/>
    <hyperlink r:id="rId7" ref="B9"/>
    <hyperlink r:id="rId8" ref="B10"/>
    <hyperlink r:id="rId9" ref="B11"/>
    <hyperlink r:id="rId10" ref="B12"/>
    <hyperlink r:id="rId11" ref="B13"/>
  </hyperlinks>
  <drawing r:id="rId12"/>
  <legacyDrawing r:id="rId1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34.13"/>
    <col customWidth="1" min="3" max="3" width="20.75"/>
    <col customWidth="1" min="4" max="4" width="15.25"/>
    <col customWidth="1" min="5" max="5" width="15.38"/>
    <col customWidth="1" min="6" max="6" width="24.88"/>
    <col customWidth="1" min="7" max="8" width="16.5"/>
    <col customWidth="1" min="9" max="9" width="34.13"/>
  </cols>
  <sheetData>
    <row r="1">
      <c r="A1" s="48" t="s">
        <v>64</v>
      </c>
      <c r="B1" s="48" t="s">
        <v>252</v>
      </c>
      <c r="C1" s="48" t="s">
        <v>253</v>
      </c>
      <c r="D1" s="48" t="s">
        <v>255</v>
      </c>
      <c r="E1" s="48" t="s">
        <v>256</v>
      </c>
      <c r="F1" s="49" t="s">
        <v>258</v>
      </c>
      <c r="G1" s="50" t="s">
        <v>260</v>
      </c>
      <c r="H1" s="50" t="s">
        <v>263</v>
      </c>
      <c r="I1" s="48" t="s">
        <v>264</v>
      </c>
    </row>
    <row r="2">
      <c r="A2" s="52" t="s">
        <v>221</v>
      </c>
      <c r="B2" s="53" t="s">
        <v>268</v>
      </c>
      <c r="C2" s="55" t="s">
        <v>146</v>
      </c>
      <c r="D2" s="56" t="s">
        <v>270</v>
      </c>
      <c r="E2" s="53">
        <v>2.0</v>
      </c>
      <c r="F2" s="56" t="s">
        <v>272</v>
      </c>
      <c r="G2" s="56" t="s">
        <v>273</v>
      </c>
      <c r="H2" s="56" t="s">
        <v>274</v>
      </c>
      <c r="I2" s="62" t="s">
        <v>275</v>
      </c>
    </row>
    <row r="3">
      <c r="B3" s="56" t="s">
        <v>219</v>
      </c>
      <c r="C3" s="63" t="s">
        <v>128</v>
      </c>
      <c r="E3" s="53">
        <v>150.0</v>
      </c>
      <c r="F3" s="64"/>
      <c r="G3" s="56" t="s">
        <v>279</v>
      </c>
      <c r="H3" s="56" t="s">
        <v>274</v>
      </c>
      <c r="I3" s="53"/>
    </row>
    <row r="4">
      <c r="C4" s="63" t="s">
        <v>131</v>
      </c>
      <c r="E4" s="53">
        <v>10.0</v>
      </c>
      <c r="F4" s="56" t="s">
        <v>281</v>
      </c>
      <c r="G4" s="56" t="s">
        <v>279</v>
      </c>
      <c r="H4" s="56" t="s">
        <v>274</v>
      </c>
      <c r="I4" s="53"/>
    </row>
    <row r="5">
      <c r="C5" s="63" t="s">
        <v>133</v>
      </c>
      <c r="E5" s="53">
        <v>10.0</v>
      </c>
      <c r="F5" s="56" t="s">
        <v>281</v>
      </c>
      <c r="G5" s="56" t="s">
        <v>279</v>
      </c>
      <c r="H5" s="56" t="s">
        <v>274</v>
      </c>
      <c r="I5" s="53"/>
    </row>
    <row r="6">
      <c r="C6" s="63" t="s">
        <v>135</v>
      </c>
      <c r="E6" s="53">
        <v>5.0</v>
      </c>
      <c r="F6" s="56" t="s">
        <v>272</v>
      </c>
      <c r="G6" s="56" t="s">
        <v>279</v>
      </c>
      <c r="H6" s="56" t="s">
        <v>274</v>
      </c>
      <c r="I6" s="53"/>
    </row>
    <row r="7">
      <c r="C7" s="63" t="s">
        <v>142</v>
      </c>
      <c r="E7" s="53">
        <v>10.0</v>
      </c>
      <c r="F7" s="56" t="s">
        <v>285</v>
      </c>
      <c r="G7" s="56" t="s">
        <v>279</v>
      </c>
      <c r="H7" s="56" t="s">
        <v>274</v>
      </c>
      <c r="I7" s="53"/>
    </row>
    <row r="8">
      <c r="C8" s="63" t="s">
        <v>128</v>
      </c>
      <c r="E8" s="53">
        <v>161.0</v>
      </c>
      <c r="F8" s="56" t="s">
        <v>285</v>
      </c>
      <c r="G8" s="53" t="s">
        <v>287</v>
      </c>
      <c r="H8" s="56" t="s">
        <v>274</v>
      </c>
      <c r="I8" s="53"/>
    </row>
    <row r="9">
      <c r="A9" s="67" t="s">
        <v>266</v>
      </c>
      <c r="B9" s="56" t="s">
        <v>103</v>
      </c>
      <c r="C9" s="63" t="s">
        <v>128</v>
      </c>
      <c r="D9" s="56" t="s">
        <v>270</v>
      </c>
      <c r="E9" s="53">
        <v>10.0</v>
      </c>
      <c r="F9" s="56" t="s">
        <v>285</v>
      </c>
      <c r="G9" s="53" t="s">
        <v>279</v>
      </c>
      <c r="H9" s="56" t="s">
        <v>274</v>
      </c>
      <c r="I9" s="53"/>
    </row>
    <row r="10" ht="28.5" customHeight="1">
      <c r="A10" s="67" t="s">
        <v>266</v>
      </c>
      <c r="B10" s="56" t="s">
        <v>103</v>
      </c>
      <c r="C10" s="63" t="s">
        <v>146</v>
      </c>
      <c r="E10" s="53">
        <v>2.0</v>
      </c>
      <c r="F10" s="56" t="s">
        <v>272</v>
      </c>
      <c r="G10" s="53" t="s">
        <v>279</v>
      </c>
      <c r="H10" s="56" t="s">
        <v>274</v>
      </c>
      <c r="I10" s="53"/>
    </row>
    <row r="11">
      <c r="A11" s="68" t="s">
        <v>187</v>
      </c>
      <c r="B11" s="53" t="s">
        <v>186</v>
      </c>
      <c r="C11" s="63" t="s">
        <v>128</v>
      </c>
      <c r="D11" s="56" t="s">
        <v>270</v>
      </c>
      <c r="E11" s="53">
        <v>250.0</v>
      </c>
      <c r="F11" s="56" t="s">
        <v>285</v>
      </c>
      <c r="G11" s="53" t="s">
        <v>279</v>
      </c>
      <c r="H11" s="56" t="s">
        <v>274</v>
      </c>
      <c r="I11" s="53"/>
    </row>
    <row r="12">
      <c r="C12" s="63" t="s">
        <v>134</v>
      </c>
      <c r="E12" s="53">
        <v>10.0</v>
      </c>
      <c r="F12" s="64"/>
      <c r="G12" s="53" t="s">
        <v>279</v>
      </c>
      <c r="H12" s="56" t="s">
        <v>274</v>
      </c>
      <c r="I12" s="53"/>
    </row>
    <row r="13">
      <c r="C13" s="63" t="s">
        <v>146</v>
      </c>
      <c r="E13" s="53">
        <v>10.0</v>
      </c>
      <c r="F13" s="64"/>
      <c r="G13" s="53" t="s">
        <v>279</v>
      </c>
      <c r="H13" s="56" t="s">
        <v>274</v>
      </c>
      <c r="I13" s="53"/>
    </row>
    <row r="14">
      <c r="A14" s="52" t="s">
        <v>169</v>
      </c>
      <c r="B14" s="53" t="s">
        <v>176</v>
      </c>
      <c r="C14" s="63" t="s">
        <v>147</v>
      </c>
      <c r="D14" s="56" t="s">
        <v>270</v>
      </c>
      <c r="E14" s="53">
        <v>214.0</v>
      </c>
      <c r="F14" s="56" t="s">
        <v>272</v>
      </c>
      <c r="G14" s="53" t="s">
        <v>298</v>
      </c>
      <c r="H14" s="56" t="s">
        <v>274</v>
      </c>
      <c r="I14" s="62" t="s">
        <v>191</v>
      </c>
    </row>
    <row r="15">
      <c r="C15" s="63" t="s">
        <v>135</v>
      </c>
      <c r="E15" s="53">
        <v>388.0</v>
      </c>
      <c r="F15" s="56" t="s">
        <v>272</v>
      </c>
      <c r="G15" s="53" t="s">
        <v>287</v>
      </c>
      <c r="H15" s="56" t="s">
        <v>274</v>
      </c>
      <c r="I15" s="62" t="s">
        <v>286</v>
      </c>
    </row>
    <row r="16">
      <c r="A16" s="52" t="s">
        <v>130</v>
      </c>
      <c r="B16" s="53" t="s">
        <v>140</v>
      </c>
      <c r="C16" s="63" t="s">
        <v>131</v>
      </c>
      <c r="D16" s="56" t="s">
        <v>270</v>
      </c>
      <c r="E16" s="53">
        <v>224.0</v>
      </c>
      <c r="F16" s="56" t="s">
        <v>272</v>
      </c>
      <c r="G16" s="53" t="s">
        <v>300</v>
      </c>
      <c r="H16" s="56" t="s">
        <v>274</v>
      </c>
      <c r="I16" s="62" t="s">
        <v>157</v>
      </c>
    </row>
    <row r="17">
      <c r="C17" s="63" t="s">
        <v>142</v>
      </c>
      <c r="E17" s="53">
        <v>941.0</v>
      </c>
      <c r="F17" s="56" t="s">
        <v>272</v>
      </c>
      <c r="G17" s="53" t="s">
        <v>300</v>
      </c>
      <c r="H17" s="56" t="s">
        <v>274</v>
      </c>
      <c r="I17" s="77" t="s">
        <v>301</v>
      </c>
    </row>
    <row r="18">
      <c r="C18" s="63" t="s">
        <v>128</v>
      </c>
      <c r="D18" s="53" t="s">
        <v>305</v>
      </c>
      <c r="E18" s="53">
        <v>20.0</v>
      </c>
      <c r="F18" s="56" t="s">
        <v>272</v>
      </c>
      <c r="G18" s="53" t="s">
        <v>273</v>
      </c>
      <c r="H18" s="56" t="s">
        <v>274</v>
      </c>
      <c r="I18" s="62" t="s">
        <v>231</v>
      </c>
    </row>
    <row r="19">
      <c r="C19" s="63" t="s">
        <v>133</v>
      </c>
      <c r="D19" s="53" t="s">
        <v>270</v>
      </c>
      <c r="E19" s="53">
        <v>192.0</v>
      </c>
      <c r="F19" s="56" t="s">
        <v>272</v>
      </c>
      <c r="G19" s="53" t="s">
        <v>298</v>
      </c>
      <c r="H19" s="56" t="s">
        <v>274</v>
      </c>
      <c r="I19" s="62" t="s">
        <v>309</v>
      </c>
    </row>
    <row r="20">
      <c r="B20" s="53" t="s">
        <v>152</v>
      </c>
      <c r="C20" s="63" t="s">
        <v>128</v>
      </c>
      <c r="D20" s="53" t="s">
        <v>270</v>
      </c>
      <c r="E20" s="53">
        <v>1000.0</v>
      </c>
      <c r="F20" s="56" t="s">
        <v>272</v>
      </c>
      <c r="G20" s="53" t="s">
        <v>279</v>
      </c>
      <c r="H20" s="56" t="s">
        <v>274</v>
      </c>
      <c r="I20" s="53"/>
    </row>
    <row r="21">
      <c r="C21" s="63" t="s">
        <v>135</v>
      </c>
      <c r="E21" s="53">
        <v>1600.0</v>
      </c>
      <c r="F21" s="56" t="s">
        <v>272</v>
      </c>
      <c r="G21" s="53" t="s">
        <v>279</v>
      </c>
      <c r="H21" s="56" t="s">
        <v>274</v>
      </c>
      <c r="I21" s="53"/>
    </row>
    <row r="22">
      <c r="C22" s="63" t="s">
        <v>146</v>
      </c>
      <c r="E22" s="53">
        <v>1500.0</v>
      </c>
      <c r="F22" s="56" t="s">
        <v>272</v>
      </c>
      <c r="G22" s="53" t="s">
        <v>279</v>
      </c>
      <c r="H22" s="56" t="s">
        <v>274</v>
      </c>
      <c r="I22" s="53"/>
    </row>
    <row r="23">
      <c r="C23" s="63" t="s">
        <v>128</v>
      </c>
      <c r="E23" s="53">
        <v>520.0</v>
      </c>
      <c r="F23" s="56" t="s">
        <v>272</v>
      </c>
      <c r="G23" s="53" t="s">
        <v>287</v>
      </c>
      <c r="H23" s="56" t="s">
        <v>274</v>
      </c>
      <c r="I23" s="53"/>
    </row>
    <row r="24">
      <c r="C24" s="63" t="s">
        <v>135</v>
      </c>
      <c r="E24" s="53">
        <v>1600.0</v>
      </c>
      <c r="F24" s="56" t="s">
        <v>272</v>
      </c>
      <c r="G24" s="53" t="s">
        <v>287</v>
      </c>
      <c r="H24" s="56" t="s">
        <v>274</v>
      </c>
      <c r="I24" s="53"/>
    </row>
    <row r="25">
      <c r="C25" s="63" t="s">
        <v>146</v>
      </c>
      <c r="E25" s="53">
        <v>1200.0</v>
      </c>
      <c r="F25" s="56" t="s">
        <v>272</v>
      </c>
      <c r="G25" s="53" t="s">
        <v>287</v>
      </c>
      <c r="H25" s="56" t="s">
        <v>274</v>
      </c>
      <c r="I25" s="53"/>
    </row>
    <row r="26">
      <c r="C26" s="63" t="s">
        <v>131</v>
      </c>
      <c r="E26" s="53">
        <v>100.0</v>
      </c>
      <c r="F26" s="56" t="s">
        <v>272</v>
      </c>
      <c r="G26" s="53" t="s">
        <v>273</v>
      </c>
      <c r="H26" s="56" t="s">
        <v>274</v>
      </c>
      <c r="I26" s="53"/>
    </row>
    <row r="27">
      <c r="C27" s="63" t="s">
        <v>133</v>
      </c>
      <c r="E27" s="53">
        <v>200.0</v>
      </c>
      <c r="F27" s="56" t="s">
        <v>272</v>
      </c>
      <c r="G27" s="53" t="s">
        <v>273</v>
      </c>
      <c r="H27" s="56" t="s">
        <v>274</v>
      </c>
      <c r="I27" s="53"/>
    </row>
    <row r="28">
      <c r="C28" s="63" t="s">
        <v>142</v>
      </c>
      <c r="E28" s="53">
        <v>200.0</v>
      </c>
      <c r="F28" s="56" t="s">
        <v>272</v>
      </c>
      <c r="G28" s="53" t="s">
        <v>273</v>
      </c>
      <c r="H28" s="56" t="s">
        <v>274</v>
      </c>
      <c r="I28" s="53"/>
    </row>
    <row r="29">
      <c r="C29" s="63" t="s">
        <v>145</v>
      </c>
      <c r="E29" s="53">
        <v>7.0</v>
      </c>
      <c r="F29" s="56" t="s">
        <v>272</v>
      </c>
      <c r="G29" s="53" t="s">
        <v>273</v>
      </c>
      <c r="H29" s="56" t="s">
        <v>274</v>
      </c>
      <c r="I29" s="53"/>
    </row>
    <row r="30">
      <c r="C30" s="63" t="s">
        <v>147</v>
      </c>
      <c r="E30" s="53">
        <v>41.0</v>
      </c>
      <c r="F30" s="56" t="s">
        <v>272</v>
      </c>
      <c r="G30" s="53" t="s">
        <v>273</v>
      </c>
      <c r="H30" s="56" t="s">
        <v>274</v>
      </c>
      <c r="I30" s="53"/>
    </row>
    <row r="31">
      <c r="A31" s="80" t="s">
        <v>288</v>
      </c>
      <c r="B31" s="53" t="s">
        <v>291</v>
      </c>
      <c r="C31" s="53" t="s">
        <v>317</v>
      </c>
      <c r="D31" s="53" t="s">
        <v>270</v>
      </c>
      <c r="E31" s="53">
        <v>21.0</v>
      </c>
      <c r="F31" s="56" t="s">
        <v>272</v>
      </c>
      <c r="G31" s="53" t="s">
        <v>287</v>
      </c>
      <c r="H31" s="56" t="s">
        <v>274</v>
      </c>
      <c r="I31" s="62" t="s">
        <v>296</v>
      </c>
    </row>
    <row r="32">
      <c r="C32" s="81" t="s">
        <v>145</v>
      </c>
      <c r="E32" s="53">
        <v>235.0</v>
      </c>
      <c r="F32" s="56" t="s">
        <v>272</v>
      </c>
      <c r="G32" s="56" t="s">
        <v>273</v>
      </c>
      <c r="H32" s="56" t="s">
        <v>274</v>
      </c>
      <c r="I32" s="62" t="s">
        <v>302</v>
      </c>
    </row>
    <row r="33">
      <c r="C33" s="55" t="s">
        <v>146</v>
      </c>
      <c r="E33" s="53">
        <v>180.0</v>
      </c>
      <c r="F33" s="56" t="s">
        <v>272</v>
      </c>
      <c r="G33" s="53" t="s">
        <v>287</v>
      </c>
      <c r="H33" s="56" t="s">
        <v>274</v>
      </c>
      <c r="I33" s="77" t="s">
        <v>315</v>
      </c>
    </row>
    <row r="34">
      <c r="A34" s="53" t="s">
        <v>68</v>
      </c>
      <c r="B34" s="53" t="s">
        <v>167</v>
      </c>
      <c r="C34" s="63" t="s">
        <v>131</v>
      </c>
      <c r="D34" s="53" t="s">
        <v>270</v>
      </c>
      <c r="E34" s="53">
        <v>216.0</v>
      </c>
      <c r="F34" s="56" t="s">
        <v>285</v>
      </c>
      <c r="G34" s="53" t="s">
        <v>298</v>
      </c>
      <c r="H34" s="56" t="s">
        <v>274</v>
      </c>
      <c r="I34" s="53"/>
    </row>
    <row r="35">
      <c r="C35" s="63" t="s">
        <v>133</v>
      </c>
      <c r="E35" s="53">
        <v>548.0</v>
      </c>
      <c r="F35" s="56" t="s">
        <v>285</v>
      </c>
      <c r="G35" s="53" t="s">
        <v>298</v>
      </c>
      <c r="H35" s="56" t="s">
        <v>274</v>
      </c>
      <c r="I35" s="53"/>
    </row>
    <row r="36">
      <c r="C36" s="63" t="s">
        <v>137</v>
      </c>
      <c r="E36" s="53">
        <v>157.0</v>
      </c>
      <c r="F36" s="64"/>
      <c r="G36" s="53" t="s">
        <v>279</v>
      </c>
      <c r="H36" s="56" t="s">
        <v>274</v>
      </c>
      <c r="I36" s="53"/>
    </row>
    <row r="37">
      <c r="C37" s="63" t="s">
        <v>142</v>
      </c>
      <c r="E37" s="53">
        <v>881.0</v>
      </c>
      <c r="F37" s="56" t="s">
        <v>281</v>
      </c>
      <c r="G37" s="53" t="s">
        <v>298</v>
      </c>
      <c r="H37" s="56" t="s">
        <v>274</v>
      </c>
      <c r="I37" s="53"/>
    </row>
    <row r="38">
      <c r="C38" s="63" t="s">
        <v>145</v>
      </c>
      <c r="E38" s="53">
        <v>42.0</v>
      </c>
      <c r="F38" s="56" t="s">
        <v>281</v>
      </c>
      <c r="G38" s="53" t="s">
        <v>298</v>
      </c>
      <c r="H38" s="56" t="s">
        <v>274</v>
      </c>
      <c r="I38" s="53"/>
    </row>
    <row r="39">
      <c r="C39" s="63" t="s">
        <v>147</v>
      </c>
      <c r="E39" s="53">
        <v>58.0</v>
      </c>
      <c r="F39" s="56" t="s">
        <v>327</v>
      </c>
      <c r="G39" s="53" t="s">
        <v>298</v>
      </c>
      <c r="H39" s="56" t="s">
        <v>274</v>
      </c>
      <c r="I39" s="53"/>
    </row>
    <row r="40">
      <c r="A40" s="80" t="s">
        <v>33</v>
      </c>
      <c r="B40" s="53" t="s">
        <v>238</v>
      </c>
      <c r="C40" s="63" t="s">
        <v>128</v>
      </c>
      <c r="D40" s="53" t="s">
        <v>270</v>
      </c>
      <c r="E40" s="53">
        <v>1383.0</v>
      </c>
      <c r="F40" s="56" t="s">
        <v>272</v>
      </c>
      <c r="G40" s="53" t="s">
        <v>273</v>
      </c>
      <c r="H40" s="56" t="s">
        <v>274</v>
      </c>
      <c r="I40" s="62" t="s">
        <v>250</v>
      </c>
    </row>
    <row r="41">
      <c r="C41" s="63" t="s">
        <v>134</v>
      </c>
      <c r="E41" s="53">
        <v>253.0</v>
      </c>
      <c r="F41" s="56" t="s">
        <v>272</v>
      </c>
      <c r="G41" s="53" t="s">
        <v>273</v>
      </c>
      <c r="H41" s="56" t="s">
        <v>274</v>
      </c>
      <c r="I41" s="62" t="s">
        <v>278</v>
      </c>
    </row>
    <row r="42">
      <c r="B42" s="67" t="s">
        <v>174</v>
      </c>
      <c r="C42" s="63" t="s">
        <v>128</v>
      </c>
      <c r="D42" s="53" t="s">
        <v>270</v>
      </c>
      <c r="E42" s="53">
        <v>850.0</v>
      </c>
      <c r="F42" s="56" t="s">
        <v>281</v>
      </c>
      <c r="G42" s="53" t="s">
        <v>287</v>
      </c>
      <c r="H42" s="56" t="s">
        <v>274</v>
      </c>
      <c r="I42" s="53"/>
    </row>
    <row r="43">
      <c r="C43" s="63" t="s">
        <v>131</v>
      </c>
      <c r="E43" s="53">
        <v>60.0</v>
      </c>
      <c r="F43" s="56" t="s">
        <v>272</v>
      </c>
      <c r="G43" s="53" t="s">
        <v>273</v>
      </c>
      <c r="H43" s="56" t="s">
        <v>274</v>
      </c>
      <c r="I43" s="53"/>
    </row>
    <row r="44">
      <c r="C44" s="63" t="s">
        <v>133</v>
      </c>
      <c r="E44" s="53">
        <v>48.0</v>
      </c>
      <c r="F44" s="56" t="s">
        <v>272</v>
      </c>
      <c r="G44" s="53" t="s">
        <v>273</v>
      </c>
      <c r="H44" s="56" t="s">
        <v>274</v>
      </c>
      <c r="I44" s="53"/>
    </row>
    <row r="45">
      <c r="C45" s="63" t="s">
        <v>134</v>
      </c>
      <c r="E45" s="53">
        <v>350.0</v>
      </c>
      <c r="F45" s="56" t="s">
        <v>281</v>
      </c>
      <c r="G45" s="53" t="s">
        <v>287</v>
      </c>
      <c r="H45" s="56" t="s">
        <v>274</v>
      </c>
      <c r="I45" s="53"/>
    </row>
    <row r="46">
      <c r="C46" s="63" t="s">
        <v>135</v>
      </c>
      <c r="E46" s="53">
        <v>10.0</v>
      </c>
      <c r="F46" s="82"/>
      <c r="G46" s="53" t="s">
        <v>287</v>
      </c>
      <c r="H46" s="56" t="s">
        <v>274</v>
      </c>
      <c r="I46" s="53"/>
    </row>
    <row r="47">
      <c r="C47" s="63" t="s">
        <v>142</v>
      </c>
      <c r="E47" s="53">
        <v>120.0</v>
      </c>
      <c r="F47" s="56" t="s">
        <v>272</v>
      </c>
      <c r="G47" s="53" t="s">
        <v>273</v>
      </c>
      <c r="H47" s="56" t="s">
        <v>274</v>
      </c>
      <c r="I47" s="53"/>
    </row>
    <row r="48">
      <c r="C48" s="63" t="s">
        <v>146</v>
      </c>
      <c r="E48" s="53">
        <v>450.0</v>
      </c>
      <c r="F48" s="56" t="s">
        <v>281</v>
      </c>
      <c r="G48" s="53" t="s">
        <v>287</v>
      </c>
      <c r="H48" s="56" t="s">
        <v>274</v>
      </c>
      <c r="I48" s="53"/>
    </row>
    <row r="49">
      <c r="A49" s="83"/>
      <c r="B49" s="83"/>
      <c r="C49" s="84" t="s">
        <v>147</v>
      </c>
      <c r="D49" s="83"/>
      <c r="E49" s="85">
        <v>5.0</v>
      </c>
      <c r="F49" s="86"/>
      <c r="G49" s="85" t="s">
        <v>273</v>
      </c>
      <c r="H49" s="87" t="s">
        <v>274</v>
      </c>
      <c r="I49" s="85"/>
    </row>
  </sheetData>
  <mergeCells count="26">
    <mergeCell ref="A2:A8"/>
    <mergeCell ref="D2:D8"/>
    <mergeCell ref="B3:B8"/>
    <mergeCell ref="D9:D10"/>
    <mergeCell ref="A11:A13"/>
    <mergeCell ref="B11:B13"/>
    <mergeCell ref="D11:D13"/>
    <mergeCell ref="A16:A30"/>
    <mergeCell ref="A31:A33"/>
    <mergeCell ref="A34:A39"/>
    <mergeCell ref="A40:A49"/>
    <mergeCell ref="D20:D30"/>
    <mergeCell ref="D31:D33"/>
    <mergeCell ref="B34:B39"/>
    <mergeCell ref="D34:D39"/>
    <mergeCell ref="B40:B41"/>
    <mergeCell ref="D40:D41"/>
    <mergeCell ref="B42:B49"/>
    <mergeCell ref="D42:D49"/>
    <mergeCell ref="A14:A15"/>
    <mergeCell ref="B14:B15"/>
    <mergeCell ref="D14:D15"/>
    <mergeCell ref="B16:B19"/>
    <mergeCell ref="D16:D17"/>
    <mergeCell ref="B20:B30"/>
    <mergeCell ref="B31:B33"/>
  </mergeCells>
  <hyperlinks>
    <hyperlink r:id="rId1" ref="I2"/>
    <hyperlink r:id="rId2" ref="I14"/>
    <hyperlink r:id="rId3" ref="I15"/>
    <hyperlink r:id="rId4" ref="I16"/>
    <hyperlink r:id="rId5" ref="I17"/>
    <hyperlink r:id="rId6" ref="I18"/>
    <hyperlink r:id="rId7" ref="I19"/>
    <hyperlink r:id="rId8" ref="I31"/>
    <hyperlink r:id="rId9" ref="I32"/>
    <hyperlink r:id="rId10" ref="I33"/>
    <hyperlink r:id="rId11" ref="I40"/>
    <hyperlink r:id="rId12" ref="I41"/>
  </hyperlinks>
  <drawing r:id="rId13"/>
  <tableParts count="1">
    <tablePart r:id="rId15"/>
  </tableParts>
</worksheet>
</file>
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eigras\Documents\git\Germplasm-Banks\manuscript\"/>
    </mc:Choice>
  </mc:AlternateContent>
  <xr:revisionPtr revIDLastSave="0" documentId="13_ncr:1_{DBBC6859-B95A-4144-ADEE-B6E3AB8750A7}" xr6:coauthVersionLast="47" xr6:coauthVersionMax="47" xr10:uidLastSave="{00000000-0000-0000-0000-000000000000}"/>
  <bookViews>
    <workbookView xWindow="-108" yWindow="-108" windowWidth="23256" windowHeight="12456" activeTab="6" xr2:uid="{00000000-000D-0000-FFFF-FFFF00000000}"/>
  </bookViews>
  <sheets>
    <sheet name="SM" sheetId="2" r:id="rId1"/>
    <sheet name="STable-1" sheetId="3" r:id="rId2"/>
    <sheet name="STable-2" sheetId="4" r:id="rId3"/>
    <sheet name="Table1" sheetId="5" state="hidden" r:id="rId4"/>
    <sheet name="fb" sheetId="6" state="hidden" r:id="rId5"/>
    <sheet name="ecuacion de busqueda" sheetId="7" state="hidden" r:id="rId6"/>
    <sheet name="STable-3" sheetId="8" r:id="rId7"/>
    <sheet name="Copia de emergentes" sheetId="9"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7" l="1"/>
  <c r="B12" i="7"/>
  <c r="C11" i="7"/>
  <c r="B11" i="7"/>
  <c r="C10" i="7"/>
  <c r="B10" i="7"/>
  <c r="C9" i="7"/>
  <c r="B9" i="7"/>
  <c r="C8" i="7"/>
  <c r="B8" i="7"/>
  <c r="C7" i="7"/>
  <c r="B7" i="7"/>
  <c r="C6" i="7"/>
  <c r="B6" i="7"/>
  <c r="C5" i="7"/>
  <c r="B5" i="7"/>
  <c r="C4" i="7"/>
  <c r="B4" i="7"/>
  <c r="C3" i="7"/>
  <c r="B3" i="7"/>
  <c r="C2" i="7"/>
  <c r="B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700-000001000000}">
      <text>
        <r>
          <rPr>
            <sz val="10"/>
            <color rgb="FF000000"/>
            <rFont val="Arial"/>
            <scheme val="minor"/>
          </rPr>
          <t xml:space="preserve">Formulación de las ideas; formulación o evolución de los objetivos y metas generales de la investigación.
</t>
        </r>
      </text>
    </comment>
    <comment ref="E1" authorId="0" shapeId="0" xr:uid="{00000000-0006-0000-0700-000002000000}">
      <text>
        <r>
          <rPr>
            <sz val="10"/>
            <color rgb="FF000000"/>
            <rFont val="Arial"/>
            <scheme val="minor"/>
          </rPr>
          <t>Gestión de actividades para anotar y mantener los datos de investigación, incluyendo limpieza, mantenimiento y almacenamiento.</t>
        </r>
      </text>
    </comment>
    <comment ref="F1" authorId="0" shapeId="0" xr:uid="{00000000-0006-0000-0700-000003000000}">
      <text>
        <r>
          <rPr>
            <sz val="10"/>
            <color rgb="FF000000"/>
            <rFont val="Arial"/>
            <scheme val="minor"/>
          </rPr>
          <t>Aplicación de técnicas estadísticas, matemáticas, computacionales u otras técnicas formales para analizar o sintetizar los datos del estudio.</t>
        </r>
      </text>
    </comment>
    <comment ref="G1" authorId="0" shapeId="0" xr:uid="{00000000-0006-0000-0700-000004000000}">
      <text>
        <r>
          <rPr>
            <sz val="10"/>
            <color rgb="FF000000"/>
            <rFont val="Arial"/>
            <scheme val="minor"/>
          </rPr>
          <t>Obtención de apoyo financiero para el proyecto que dio lugar a esta publicación.</t>
        </r>
      </text>
    </comment>
    <comment ref="H1" authorId="0" shapeId="0" xr:uid="{00000000-0006-0000-0700-000005000000}">
      <text>
        <r>
          <rPr>
            <sz val="10"/>
            <color rgb="FF000000"/>
            <rFont val="Arial"/>
            <scheme val="minor"/>
          </rPr>
          <t>Realización de la investigación y el proceso de investigación, específicamente la realización de experimentos o la recopilación de datos/evidencias.</t>
        </r>
      </text>
    </comment>
    <comment ref="I1" authorId="0" shapeId="0" xr:uid="{00000000-0006-0000-0700-000006000000}">
      <text>
        <r>
          <rPr>
            <sz val="10"/>
            <color rgb="FF000000"/>
            <rFont val="Arial"/>
            <scheme val="minor"/>
          </rPr>
          <t>Desarrollo o diseño de la metodología; creación de modelos.</t>
        </r>
      </text>
    </comment>
    <comment ref="J1" authorId="0" shapeId="0" xr:uid="{00000000-0006-0000-0700-000007000000}">
      <text>
        <r>
          <rPr>
            <sz val="10"/>
            <color rgb="FF000000"/>
            <rFont val="Arial"/>
            <scheme val="minor"/>
          </rPr>
          <t>Responsabilidad de gestión y coordinación de la planificación y ejecución de la investigación.</t>
        </r>
      </text>
    </comment>
    <comment ref="K1" authorId="0" shapeId="0" xr:uid="{00000000-0006-0000-0700-000008000000}">
      <text>
        <r>
          <rPr>
            <sz val="10"/>
            <color rgb="FF000000"/>
            <rFont val="Arial"/>
            <scheme val="minor"/>
          </rPr>
          <t>Provisión de materiales de estudio, reactivos, materiales de laboratorio, pacientes, recursos informáticos u otras herramientas de análisis.</t>
        </r>
      </text>
    </comment>
    <comment ref="L1" authorId="0" shapeId="0" xr:uid="{00000000-0006-0000-0700-000009000000}">
      <text>
        <r>
          <rPr>
            <sz val="10"/>
            <color rgb="FF000000"/>
            <rFont val="Arial"/>
            <scheme val="minor"/>
          </rPr>
          <t>Programación, desarrollo de software, diseño de código, implementación de algoritmos, pruebas de componentes y mantenimiento del código.</t>
        </r>
      </text>
    </comment>
    <comment ref="M1" authorId="0" shapeId="0" xr:uid="{00000000-0006-0000-0700-00000A000000}">
      <text>
        <r>
          <rPr>
            <sz val="10"/>
            <color rgb="FF000000"/>
            <rFont val="Arial"/>
            <scheme val="minor"/>
          </rPr>
          <t>Supervisión y liderazgo en la planificación y ejecución de la actividad de investigación, incluyendo la tutoría externa para el equipo.</t>
        </r>
      </text>
    </comment>
    <comment ref="N1" authorId="0" shapeId="0" xr:uid="{00000000-0006-0000-0700-00000B000000}">
      <text>
        <r>
          <rPr>
            <sz val="10"/>
            <color rgb="FF000000"/>
            <rFont val="Arial"/>
            <scheme val="minor"/>
          </rPr>
          <t>Verificación, ya sea como parte de la actividad o por separado, de la reproducibilidad de los resultados y otros aspectos de la investigación.</t>
        </r>
      </text>
    </comment>
    <comment ref="O1" authorId="0" shapeId="0" xr:uid="{00000000-0006-0000-0700-00000C000000}">
      <text>
        <r>
          <rPr>
            <sz val="10"/>
            <color rgb="FF000000"/>
            <rFont val="Arial"/>
            <scheme val="minor"/>
          </rPr>
          <t>Preparación, creación y/o presentación de los datos visualizados o de los resultados de la investigación.</t>
        </r>
      </text>
    </comment>
    <comment ref="P1" authorId="0" shapeId="0" xr:uid="{00000000-0006-0000-0700-00000D000000}">
      <text>
        <r>
          <rPr>
            <sz val="10"/>
            <color rgb="FF000000"/>
            <rFont val="Arial"/>
            <scheme val="minor"/>
          </rPr>
          <t>Redacción inicial del manuscrito, incluida la redacción sustancial de las secciones clave.</t>
        </r>
      </text>
    </comment>
    <comment ref="Q1" authorId="0" shapeId="0" xr:uid="{00000000-0006-0000-0700-00000E000000}">
      <text>
        <r>
          <rPr>
            <sz val="10"/>
            <color rgb="FF000000"/>
            <rFont val="Arial"/>
            <scheme val="minor"/>
          </rPr>
          <t xml:space="preserve">Revisión crítica, comentarios y correcciones, incluyendo las etapas finales del proceso de publicación.
</t>
        </r>
      </text>
    </comment>
  </commentList>
</comments>
</file>

<file path=xl/sharedStrings.xml><?xml version="1.0" encoding="utf-8"?>
<sst xmlns="http://schemas.openxmlformats.org/spreadsheetml/2006/main" count="1127" uniqueCount="346">
  <si>
    <t>Supplementary Material</t>
  </si>
  <si>
    <t>Institución</t>
  </si>
  <si>
    <t>Description</t>
  </si>
  <si>
    <t>Supplementary Table 1</t>
  </si>
  <si>
    <t>The table presents information on the institutions responsible for the conservation of plant genetic resources, including their geographic region, the person responsible for the information, and their contact details.</t>
  </si>
  <si>
    <t>Región</t>
  </si>
  <si>
    <t>Supplementary Table 2</t>
  </si>
  <si>
    <t>The table presents information on germplasm banks and their conserved collections, including region, province, district, institution, acronym, scientific name, germplasm material, number of accessions, evaluated characteristics, conservation strategies, year of registration, main limitations, and availability for material exchange.</t>
  </si>
  <si>
    <t>Responsable</t>
  </si>
  <si>
    <t>Supplementary Table 3</t>
  </si>
  <si>
    <t>Author contributions according to the CRediT (Contributor Roles Taxonomy) classification.</t>
  </si>
  <si>
    <t xml:space="preserve">Correo </t>
  </si>
  <si>
    <t xml:space="preserve">Instituto Nacionacional de Innovacion Agraria (INIA) </t>
  </si>
  <si>
    <t>Lima</t>
  </si>
  <si>
    <t>Dina Gutierrez</t>
  </si>
  <si>
    <t>dgutierrez@inia.gob.pe</t>
  </si>
  <si>
    <t>Rank</t>
  </si>
  <si>
    <t>Title</t>
  </si>
  <si>
    <t xml:space="preserve">Universidad Nacional del Altiplano (UNA) </t>
  </si>
  <si>
    <t>Author</t>
  </si>
  <si>
    <t>Source</t>
  </si>
  <si>
    <t>Puno</t>
  </si>
  <si>
    <t>TC</t>
  </si>
  <si>
    <t>Document</t>
  </si>
  <si>
    <t>Angel Mujica</t>
  </si>
  <si>
    <r>
      <rPr>
        <sz val="11"/>
        <color rgb="FF000000"/>
        <rFont val="'Times New Roman',serif"/>
      </rPr>
      <t>Genetic variability and interrelationship among various morphological and quality traits in quinoa (</t>
    </r>
    <r>
      <rPr>
        <i/>
        <sz val="11"/>
        <color rgb="FF000000"/>
        <rFont val="'Times New Roman',serif"/>
      </rPr>
      <t>Chenopodium quinoa</t>
    </r>
    <r>
      <rPr>
        <sz val="11"/>
        <color rgb="FF000000"/>
        <rFont val="'Times New Roman',serif"/>
      </rPr>
      <t xml:space="preserve"> Willd.)</t>
    </r>
  </si>
  <si>
    <t xml:space="preserve">amujica@unap.edu.pe </t>
  </si>
  <si>
    <t>Bhargava A;Shukla S;Ohri D</t>
  </si>
  <si>
    <t>Field Crops Research</t>
  </si>
  <si>
    <t>Article</t>
  </si>
  <si>
    <t>Universidad Nacional de San Antonio Abad del Cusco (UNSAAC)</t>
  </si>
  <si>
    <r>
      <rPr>
        <sz val="11"/>
        <color rgb="FF000000"/>
        <rFont val="'Times New Roman',serif"/>
      </rPr>
      <t xml:space="preserve">Extending the range of an ancient crop, </t>
    </r>
    <r>
      <rPr>
        <i/>
        <sz val="11"/>
        <color rgb="FF000000"/>
        <rFont val="'Times New Roman',serif"/>
      </rPr>
      <t xml:space="preserve">Salvia hispanica </t>
    </r>
    <r>
      <rPr>
        <sz val="11"/>
        <color rgb="FF000000"/>
        <rFont val="'Times New Roman',serif"/>
      </rPr>
      <t>L.-a new ω3 source</t>
    </r>
  </si>
  <si>
    <t>Jamboonsri W;Phillips Td;Geneve Rl;Cahill Jp;Hildebrand Df</t>
  </si>
  <si>
    <t xml:space="preserve">Cusco </t>
  </si>
  <si>
    <t>Genetic Resources And Crop Evolution</t>
  </si>
  <si>
    <t>Aquilino Alvarez</t>
  </si>
  <si>
    <t>Sampling strategy for a core collection of peruvian quinoa germplasm</t>
  </si>
  <si>
    <t>aquilino.alvarez@unsaac.edu.pe</t>
  </si>
  <si>
    <t>Ortiz R;Ruiz-Tapia En;Mujica-Sanchez A</t>
  </si>
  <si>
    <t>Theoretical And Applied Genetics</t>
  </si>
  <si>
    <t>Universidad Nacional de San Cristóbal de Huamanga (UNSCH)</t>
  </si>
  <si>
    <r>
      <rPr>
        <sz val="11"/>
        <color rgb="FF000000"/>
        <rFont val="'Times New Roman',serif"/>
      </rPr>
      <t>Assessment of genetic diversity patterns in chilean quinoa (</t>
    </r>
    <r>
      <rPr>
        <i/>
        <sz val="11"/>
        <color rgb="FF000000"/>
        <rFont val="'Times New Roman',serif"/>
      </rPr>
      <t>Chenopodium quinoa</t>
    </r>
    <r>
      <rPr>
        <sz val="11"/>
        <color rgb="FF000000"/>
        <rFont val="'Times New Roman',serif"/>
      </rPr>
      <t xml:space="preserve"> willd.) germplasm using multiplex fluorescent microsatellite markers</t>
    </r>
  </si>
  <si>
    <t xml:space="preserve">Ayacucho </t>
  </si>
  <si>
    <t>Fuentes Ff;Martinez Ea;Hinrichsen Pv;Jellen En;Maughan Pj</t>
  </si>
  <si>
    <t>Conservation Genetics</t>
  </si>
  <si>
    <t>German de la Cruz</t>
  </si>
  <si>
    <r>
      <rPr>
        <sz val="11"/>
        <color rgb="FF000000"/>
        <rFont val="'Times New Roman',serif"/>
      </rPr>
      <t>Assessment of genetic diversity in the usda and cip-fao international nursery collections of quinoa (</t>
    </r>
    <r>
      <rPr>
        <i/>
        <sz val="11"/>
        <color rgb="FF000000"/>
        <rFont val="'Times New Roman',serif"/>
      </rPr>
      <t>Chenopodium quinoa</t>
    </r>
    <r>
      <rPr>
        <sz val="11"/>
        <color rgb="FF000000"/>
        <rFont val="'Times New Roman',serif"/>
      </rPr>
      <t xml:space="preserve"> Willd.) using microsatellite markers</t>
    </r>
  </si>
  <si>
    <t>german.delacruz@unsch.edu.pe</t>
  </si>
  <si>
    <t>Christensen Sa;Pratt Db;Pratt C;Nelson Pt;Stevens Mr;Jellen En;Coleman Ce;Fairbanks Dj;Bonifacio A;Maughan Pj</t>
  </si>
  <si>
    <t>Plant Genetic Resources: Characterisation And Utilisation</t>
  </si>
  <si>
    <t xml:space="preserve">Region </t>
  </si>
  <si>
    <t>Universidad Nacional Agraria La Molina (UNALM)</t>
  </si>
  <si>
    <t>Implications of farmers' seed exchanges for on-farm conservation of quinoa, as revealed by its genetic diversity in chile</t>
  </si>
  <si>
    <t>Fuentes Ff;Bazile D;Bhargava A;Martínez Ea</t>
  </si>
  <si>
    <t xml:space="preserve">Lima </t>
  </si>
  <si>
    <t>Journal Of Agricultural Science</t>
  </si>
  <si>
    <t>Jorge Jimenez</t>
  </si>
  <si>
    <t>Influence of contrasting environments on seed composition of two quinoa genotypes: Nutritional and functional properties</t>
  </si>
  <si>
    <t>Miranda M;Vega-Gálvez A;Martínez Ea;López J;Marín R;Aranda M;Fuentes F</t>
  </si>
  <si>
    <t>jjimenezd@lamolina.edu.pe</t>
  </si>
  <si>
    <t>Chilean Journal Of Agricultural Research</t>
  </si>
  <si>
    <t xml:space="preserve">Provincia </t>
  </si>
  <si>
    <t>Universidad Nacional Toribio Rodriguez de Mendoza (UNTRM)</t>
  </si>
  <si>
    <t>Seed composition and amino acid profiles for quinoa grown in washington state</t>
  </si>
  <si>
    <t>Craine Eb;Murphy Km</t>
  </si>
  <si>
    <t>District</t>
  </si>
  <si>
    <t>Frontiers In Nutrition</t>
  </si>
  <si>
    <t xml:space="preserve">Amazonas </t>
  </si>
  <si>
    <t>Flavio Lozano Isla</t>
  </si>
  <si>
    <t>Institution</t>
  </si>
  <si>
    <r>
      <rPr>
        <sz val="11"/>
        <color rgb="FF000000"/>
        <rFont val="'Times New Roman',serif"/>
      </rPr>
      <t>Diversity in phenotypic and nutritional traits in vegetable amaranth (</t>
    </r>
    <r>
      <rPr>
        <i/>
        <sz val="11"/>
        <color rgb="FF000000"/>
        <rFont val="'Times New Roman',serif"/>
      </rPr>
      <t>Amaranthus tricolor</t>
    </r>
    <r>
      <rPr>
        <sz val="11"/>
        <color rgb="FF000000"/>
        <rFont val="'Times New Roman',serif"/>
      </rPr>
      <t>), a nutritionally underutilised crop</t>
    </r>
  </si>
  <si>
    <t>flavio.lozano@untrm.edu.pe</t>
  </si>
  <si>
    <t>Shukla S;Bhargava A;Chatterjee A;Pandey Ac;Mishra Bk</t>
  </si>
  <si>
    <t>Acro</t>
  </si>
  <si>
    <t>Journal Of The Science Of Food And Agriculture</t>
  </si>
  <si>
    <t>Universidad Nacional de la Amazonía Peruana</t>
  </si>
  <si>
    <t xml:space="preserve">Iquitos </t>
  </si>
  <si>
    <t>Morphological analysis of quinoa germplasm grown under lowland desert conditions</t>
  </si>
  <si>
    <t>Fuentes F;Bhargava A</t>
  </si>
  <si>
    <t xml:space="preserve">Nombre_cientifico </t>
  </si>
  <si>
    <t>Journal Of Agronomy And Crop Science</t>
  </si>
  <si>
    <t>Juan C. Castro</t>
  </si>
  <si>
    <t>juan.castro@unapiquitos.edu.pe</t>
  </si>
  <si>
    <t xml:space="preserve">Germoplasma </t>
  </si>
  <si>
    <t>Centro Internacional de la papa</t>
  </si>
  <si>
    <t>Numero_accesiones</t>
  </si>
  <si>
    <t>Manrique, Ivan</t>
  </si>
  <si>
    <t>Caracterizaciones</t>
  </si>
  <si>
    <t>I.MANRIQUE@cgiar.org</t>
  </si>
  <si>
    <t>Universidad Nacional de San Agustín de Arequipa</t>
  </si>
  <si>
    <t xml:space="preserve">Conservacion </t>
  </si>
  <si>
    <t xml:space="preserve">Arequipa </t>
  </si>
  <si>
    <t xml:space="preserve">Eje tematico </t>
  </si>
  <si>
    <t>María del Rosario Valderrama Valencia</t>
  </si>
  <si>
    <t>Nombres y apellidos</t>
  </si>
  <si>
    <t>mvalderramav@unsa.edu.pe</t>
  </si>
  <si>
    <t xml:space="preserve">Nombre cientifico </t>
  </si>
  <si>
    <t xml:space="preserve">Año </t>
  </si>
  <si>
    <t xml:space="preserve">Nombre común </t>
  </si>
  <si>
    <t xml:space="preserve">Correo electrónico </t>
  </si>
  <si>
    <t xml:space="preserve">Ecuación de busqueda </t>
  </si>
  <si>
    <t xml:space="preserve">Limitaciones </t>
  </si>
  <si>
    <t>Total</t>
  </si>
  <si>
    <t>Department</t>
  </si>
  <si>
    <t xml:space="preserve">Disponiblidad de intercambio </t>
  </si>
  <si>
    <t xml:space="preserve">Jorge Condori </t>
  </si>
  <si>
    <t xml:space="preserve">Área temática: Limitado a  las ciencias agrícolas y biológicas.
Limitado a  Bioquímica, Genética y Biología Molecular.
</t>
  </si>
  <si>
    <t>Province</t>
  </si>
  <si>
    <t xml:space="preserve"> jorge.condori@untrm.edu.pe</t>
  </si>
  <si>
    <t>Instituto</t>
  </si>
  <si>
    <t>Excluyo revision</t>
  </si>
  <si>
    <t xml:space="preserve">criterios </t>
  </si>
  <si>
    <t xml:space="preserve">Cita </t>
  </si>
  <si>
    <r>
      <rPr>
        <sz val="9"/>
        <color rgb="FF000000"/>
        <rFont val="Times New Roman"/>
      </rPr>
      <t>Kiwicha (</t>
    </r>
    <r>
      <rPr>
        <sz val="9"/>
        <color rgb="FF000000"/>
        <rFont val="Times New Roman"/>
      </rPr>
      <t>Amaranthus caudatus</t>
    </r>
    <r>
      <rPr>
        <sz val="9"/>
        <color rgb="FF000000"/>
        <rFont val="Times New Roman"/>
      </rPr>
      <t>)</t>
    </r>
  </si>
  <si>
    <t>Chenopodium quinoa</t>
  </si>
  <si>
    <t xml:space="preserve">Juan Carlos Abad </t>
  </si>
  <si>
    <t>Cusco</t>
  </si>
  <si>
    <t>Tropaeolum tuberosum</t>
  </si>
  <si>
    <t>juan.guerrero@untrm.edu.pe</t>
  </si>
  <si>
    <t>Ullucus tuberosus</t>
  </si>
  <si>
    <t>Chenopodium pallidicaule</t>
  </si>
  <si>
    <t>Amaranthus caudatus</t>
  </si>
  <si>
    <t>Anta</t>
  </si>
  <si>
    <t>Lepidium meyenii</t>
  </si>
  <si>
    <t>Wanchaq</t>
  </si>
  <si>
    <t xml:space="preserve">Maywa Cecilia Blanco </t>
  </si>
  <si>
    <t>Estación Experimental Agraria Andenes</t>
  </si>
  <si>
    <t>maywa.blanco@unsaac.edu.pe</t>
  </si>
  <si>
    <t>Oxalis tuberosa</t>
  </si>
  <si>
    <t>EEA-AND</t>
  </si>
  <si>
    <t>Salvia hispanica</t>
  </si>
  <si>
    <t>Arracacia xanthorrhiza</t>
  </si>
  <si>
    <t>Lupinus mutabilis</t>
  </si>
  <si>
    <t>Smallanthus sonchifolius</t>
  </si>
  <si>
    <t xml:space="preserve">accesiones </t>
  </si>
  <si>
    <t>Aquilino Alvarez Caceres</t>
  </si>
  <si>
    <t xml:space="preserve">Fenotipica </t>
  </si>
  <si>
    <t>campo, in vitro</t>
  </si>
  <si>
    <t>Universidad Nacional de San Antonio Abad del Cusco</t>
  </si>
  <si>
    <t>San Jerónimo</t>
  </si>
  <si>
    <t>Mayela-Elizabeth Mayta Anco</t>
  </si>
  <si>
    <t>INIA</t>
  </si>
  <si>
    <t>mmaytaan@unsa.edu.pe</t>
  </si>
  <si>
    <t>https://repositorio.inia.gob.pe/items/b12f51da-f580-4854-94d0-bc77c5817ce3</t>
  </si>
  <si>
    <t>TITLE-ABS-KEY( Amaranthus caudatus)  AND  germplasm )</t>
  </si>
  <si>
    <t>Universidad Nacional Daniel Alcides Carrión</t>
  </si>
  <si>
    <t>Pasco</t>
  </si>
  <si>
    <t>Dante David Ponce A.</t>
  </si>
  <si>
    <r>
      <rPr>
        <sz val="9"/>
        <color rgb="FF000000"/>
        <rFont val="Times New Roman"/>
      </rPr>
      <t>Arracacha (</t>
    </r>
    <r>
      <rPr>
        <sz val="9"/>
        <color rgb="FF000000"/>
        <rFont val="Times New Roman"/>
      </rPr>
      <t>Arracacia xanthorrhiza</t>
    </r>
    <r>
      <rPr>
        <sz val="9"/>
        <color rgb="FF000000"/>
        <rFont val="Times New Roman"/>
      </rPr>
      <t>)</t>
    </r>
  </si>
  <si>
    <t>dponcea@undac.edu.pe</t>
  </si>
  <si>
    <t>TITLE-ABS-KEY( Arracacia xanthorrhiza  AND  germplasm )</t>
  </si>
  <si>
    <t>Ivan Manrique</t>
  </si>
  <si>
    <t>i.manrique@cgiar.org</t>
  </si>
  <si>
    <t>Centro Internacional de la Papa</t>
  </si>
  <si>
    <t>Teófilo Pompeyo Cosio Cuentas</t>
  </si>
  <si>
    <t>Cajamarca</t>
  </si>
  <si>
    <r>
      <rPr>
        <sz val="9"/>
        <color rgb="FF000000"/>
        <rFont val="Times New Roman"/>
      </rPr>
      <t>Cañihua (</t>
    </r>
    <r>
      <rPr>
        <sz val="9"/>
        <color rgb="FF000000"/>
        <rFont val="Times New Roman"/>
      </rPr>
      <t>Chenopodium pallidicaule</t>
    </r>
    <r>
      <rPr>
        <sz val="9"/>
        <color rgb="FF000000"/>
        <rFont val="Times New Roman"/>
      </rPr>
      <t>)</t>
    </r>
  </si>
  <si>
    <t>teofilo.cosio@unsaac.edu.pe</t>
  </si>
  <si>
    <t>La Molina</t>
  </si>
  <si>
    <t>Baños del Inca</t>
  </si>
  <si>
    <t>Universidad Nacional del Altiplano</t>
  </si>
  <si>
    <t>TITLE-ABS-KEY( Chenopodium pallidicaule  AND  germplasm )</t>
  </si>
  <si>
    <t>Estación Experimental Agraria Baños del Inca</t>
  </si>
  <si>
    <t>Julio Cesar Sosa Choque</t>
  </si>
  <si>
    <t>EEA-BI</t>
  </si>
  <si>
    <r>
      <rPr>
        <sz val="9"/>
        <color rgb="FF000000"/>
        <rFont val="Times New Roman"/>
      </rPr>
      <t>Quinua (</t>
    </r>
    <r>
      <rPr>
        <sz val="9"/>
        <color rgb="FF000000"/>
        <rFont val="Times New Roman"/>
      </rPr>
      <t>Chenopodium quinoa</t>
    </r>
    <r>
      <rPr>
        <sz val="9"/>
        <color rgb="FF000000"/>
        <rFont val="Times New Roman"/>
      </rPr>
      <t>)</t>
    </r>
  </si>
  <si>
    <t>jcsosa@unap.edu.pe</t>
  </si>
  <si>
    <t>TITLE-ABS-KEY( Chenopodium quinoa  AND  germplasm )</t>
  </si>
  <si>
    <t>Carlos Irvin Arbizu berrocal</t>
  </si>
  <si>
    <t>German Fernando De La Cruz Lapa</t>
  </si>
  <si>
    <r>
      <rPr>
        <sz val="9"/>
        <color rgb="FF000000"/>
        <rFont val="Times New Roman"/>
      </rPr>
      <t>Maca (</t>
    </r>
    <r>
      <rPr>
        <sz val="9"/>
        <color rgb="FF000000"/>
        <rFont val="Times New Roman"/>
      </rPr>
      <t>Lepidium meyenii</t>
    </r>
    <r>
      <rPr>
        <sz val="9"/>
        <color rgb="FF000000"/>
        <rFont val="Times New Roman"/>
      </rPr>
      <t>)</t>
    </r>
  </si>
  <si>
    <t>carlos.arbizu@untrm.edu.pe</t>
  </si>
  <si>
    <t>Universidad Nacional de San Cristóbal de Huamanga</t>
  </si>
  <si>
    <t>Ayacucho</t>
  </si>
  <si>
    <t>TITLE-ABS-KEY( Lepidium meyenii  AND  germplasm )</t>
  </si>
  <si>
    <t>Huamanga</t>
  </si>
  <si>
    <t xml:space="preserve">INIA </t>
  </si>
  <si>
    <t>https://repositorio.inia.gob.pe/items/569b0cc9-ce2e-490a-95cd-4db16b828d95</t>
  </si>
  <si>
    <t>Rember Pinedo</t>
  </si>
  <si>
    <r>
      <rPr>
        <sz val="9"/>
        <color rgb="FF000000"/>
        <rFont val="Times New Roman"/>
      </rPr>
      <t>Tarwi (</t>
    </r>
    <r>
      <rPr>
        <sz val="9"/>
        <color rgb="FF000000"/>
        <rFont val="Times New Roman"/>
      </rPr>
      <t>Lupinus mutabilis</t>
    </r>
    <r>
      <rPr>
        <sz val="9"/>
        <color rgb="FF000000"/>
        <rFont val="Times New Roman"/>
      </rPr>
      <t>)</t>
    </r>
  </si>
  <si>
    <t>rpinedo@lamolina.edu.pe</t>
  </si>
  <si>
    <t>UNIVERSIDAD NACIONAL DE CAJAMARCA</t>
  </si>
  <si>
    <t>TITLE-ABS-KEY( Lupinus mutabilis  AND  germplasm )</t>
  </si>
  <si>
    <t xml:space="preserve">Cajamarca </t>
  </si>
  <si>
    <t xml:space="preserve">Juan Francisco Seminario Cunya </t>
  </si>
  <si>
    <r>
      <rPr>
        <sz val="9"/>
        <color rgb="FF000000"/>
        <rFont val="Times New Roman"/>
      </rPr>
      <t>Oca (</t>
    </r>
    <r>
      <rPr>
        <sz val="9"/>
        <color rgb="FF000000"/>
        <rFont val="Times New Roman"/>
      </rPr>
      <t>Oxalis tuberosa)</t>
    </r>
  </si>
  <si>
    <t>Angel Mauricio Holguer Mujica Sanchez</t>
  </si>
  <si>
    <t>jseminario@unc.edu.pe</t>
  </si>
  <si>
    <t>amhmujica@yahoo.com</t>
  </si>
  <si>
    <t>TITLE-ABS-KEY( Oxalis tuberosa  AND  germplasm )</t>
  </si>
  <si>
    <t>Estación Experimental  Agraria Andenes</t>
  </si>
  <si>
    <t>Catalina Jiménez</t>
  </si>
  <si>
    <r>
      <rPr>
        <sz val="9"/>
        <color rgb="FF000000"/>
        <rFont val="Times New Roman"/>
      </rPr>
      <t>Chía (</t>
    </r>
    <r>
      <rPr>
        <sz val="9"/>
        <color rgb="FF000000"/>
        <rFont val="Times New Roman"/>
      </rPr>
      <t>Salvia hispanica)</t>
    </r>
  </si>
  <si>
    <t>catalina.jimenez@unsaac.edu.pe</t>
  </si>
  <si>
    <t>TITLE-ABS-KEY( Salvia hispanica  AND  germplasm )</t>
  </si>
  <si>
    <r>
      <rPr>
        <sz val="9"/>
        <color rgb="FF000000"/>
        <rFont val="Times New Roman"/>
      </rPr>
      <t>Yacón (</t>
    </r>
    <r>
      <rPr>
        <sz val="9"/>
        <color rgb="FF000000"/>
        <rFont val="Times New Roman"/>
      </rPr>
      <t>Smallanthus sonchifolius</t>
    </r>
    <r>
      <rPr>
        <sz val="9"/>
        <color rgb="FF000000"/>
        <rFont val="Times New Roman"/>
      </rPr>
      <t>)</t>
    </r>
  </si>
  <si>
    <t>Elizabeth Fernandez Huaytalla</t>
  </si>
  <si>
    <t>TITLE-ABS-KEY( Smallanthus sonchifolius  AND  germplasm )</t>
  </si>
  <si>
    <t>efernandezh@inia.gob.pe</t>
  </si>
  <si>
    <t>Mashua (Tropaeolum tuberosum)</t>
  </si>
  <si>
    <t>Universidad Nacional de San Antonio abad del Cusco</t>
  </si>
  <si>
    <t>Jorge Alberto Condori Apfata</t>
  </si>
  <si>
    <t>TITLE-ABS-KEY( Tropaeolum tuberosum  AND  germplasm )</t>
  </si>
  <si>
    <t>jorge.condori@untrm.edu.pe</t>
  </si>
  <si>
    <t>Elizabet Cespedes</t>
  </si>
  <si>
    <t>Universidad Nacional Toribio Rodriguez de Mendoza</t>
  </si>
  <si>
    <r>
      <rPr>
        <u/>
        <sz val="10"/>
        <color rgb="FF1155CC"/>
        <rFont val="Times New Roman"/>
      </rPr>
      <t>https://repositorio.inia.gob.pe/items/995defe3-7afe-48ca-98b6-d053e11014e9</t>
    </r>
    <r>
      <rPr>
        <sz val="10"/>
        <color rgb="FF1F1F1F"/>
        <rFont val="Times New Roman"/>
      </rPr>
      <t xml:space="preserve">  
</t>
    </r>
    <r>
      <rPr>
        <u/>
        <sz val="10"/>
        <color rgb="FF1155CC"/>
        <rFont val="Times New Roman"/>
      </rPr>
      <t>https://sirge.inia.gob.pe/consulta?type=8&amp;var=1&amp;col=4</t>
    </r>
    <r>
      <rPr>
        <sz val="10"/>
        <rFont val="Times New Roman"/>
      </rPr>
      <t xml:space="preserve"> </t>
    </r>
  </si>
  <si>
    <t>Amazonas</t>
  </si>
  <si>
    <t>elisabet.cespedes@unsaac.edu.pe</t>
  </si>
  <si>
    <t>Chachapoyas</t>
  </si>
  <si>
    <r>
      <rPr>
        <sz val="9"/>
        <color rgb="FF000000"/>
        <rFont val="Times New Roman"/>
      </rPr>
      <t>Olluco (</t>
    </r>
    <r>
      <rPr>
        <sz val="9"/>
        <color rgb="FF000000"/>
        <rFont val="Times New Roman"/>
      </rPr>
      <t>Ullucus tuberosus</t>
    </r>
    <r>
      <rPr>
        <sz val="9"/>
        <color rgb="FF000000"/>
        <rFont val="Times New Roman"/>
      </rPr>
      <t>)</t>
    </r>
  </si>
  <si>
    <t>TITLE-ABS-KEY( Ullucus tuberosus  AND  germplasm )</t>
  </si>
  <si>
    <t>Maywa Blanco Zamalloa</t>
  </si>
  <si>
    <t>variedades</t>
  </si>
  <si>
    <t>campo</t>
  </si>
  <si>
    <t>Catalina Jimenez Aguilar</t>
  </si>
  <si>
    <t>INIA-FAO</t>
  </si>
  <si>
    <t>https://repositorio.inia.gob.pe/server/api/core/bitstreams/06b66d94-b8d6-432c-b29c-42b5db9de9fb/content</t>
  </si>
  <si>
    <t>Email</t>
  </si>
  <si>
    <t>ORCID</t>
  </si>
  <si>
    <t>Conceptualization</t>
  </si>
  <si>
    <t>Data curation</t>
  </si>
  <si>
    <t>Formal analysis</t>
  </si>
  <si>
    <t>Funding acquisition</t>
  </si>
  <si>
    <t>Estación Experimental  Agraria Illpa</t>
  </si>
  <si>
    <t>EEA-ILL</t>
  </si>
  <si>
    <t>Investigation</t>
  </si>
  <si>
    <t>7</t>
  </si>
  <si>
    <t>Methodology</t>
  </si>
  <si>
    <t>Project administration</t>
  </si>
  <si>
    <t xml:space="preserve">Flavio Lozano Isla </t>
  </si>
  <si>
    <t xml:space="preserve">flavio.lozano@untrm.edu.pe </t>
  </si>
  <si>
    <t>Resources</t>
  </si>
  <si>
    <t>Universidad Nacional Toribio Rodríguez de Mendoza de Amazonas</t>
  </si>
  <si>
    <t xml:space="preserve">Chachapoyas </t>
  </si>
  <si>
    <t>Software</t>
  </si>
  <si>
    <t>https://sirge.inia.gob.pe/consulta?type=8&amp;var=7&amp;col=24</t>
  </si>
  <si>
    <t>Supervision</t>
  </si>
  <si>
    <t>Genebank/Institution</t>
  </si>
  <si>
    <t>Species</t>
  </si>
  <si>
    <t>Validation</t>
  </si>
  <si>
    <t>Germplasm Collection</t>
  </si>
  <si>
    <t>Accessions (n)</t>
  </si>
  <si>
    <t>Visualization</t>
  </si>
  <si>
    <t>Characterization Performed</t>
  </si>
  <si>
    <t>Writing – original draft</t>
  </si>
  <si>
    <t>Conservation Method</t>
  </si>
  <si>
    <t>Maria Rosario Elsa Valderrama Valencia</t>
  </si>
  <si>
    <t>Writing – review &amp; editing</t>
  </si>
  <si>
    <t>Year</t>
  </si>
  <si>
    <t>Reference</t>
  </si>
  <si>
    <t>Victor-Hugo Baldera-Chapoñan</t>
  </si>
  <si>
    <t>Arequipa</t>
  </si>
  <si>
    <t>victorhugobalderachaponan@gmail.com</t>
  </si>
  <si>
    <t>Estación Experimental Agraria Amazonas</t>
  </si>
  <si>
    <r>
      <rPr>
        <sz val="10"/>
        <color theme="1"/>
        <rFont val="Times New Roman"/>
      </rPr>
      <t>0009-0003-4321-7103</t>
    </r>
  </si>
  <si>
    <t>Accessions</t>
  </si>
  <si>
    <t>x</t>
  </si>
  <si>
    <t>Phenotypic</t>
  </si>
  <si>
    <t>Field</t>
  </si>
  <si>
    <t>June 2026</t>
  </si>
  <si>
    <t>https://sirge.inia.gob.pe/consulta?type=8&amp;var=15&amp;col=51</t>
  </si>
  <si>
    <t xml:space="preserve">Instituto Nacional de Innovación Agraria </t>
  </si>
  <si>
    <t>genebankperu@inia.gob.pe</t>
  </si>
  <si>
    <t>https://sirge.inia.gob.pe/consulta?type=8&amp;var=7&amp;col=25</t>
  </si>
  <si>
    <t>Seed</t>
  </si>
  <si>
    <t>Wagner Meza-Maicelo</t>
  </si>
  <si>
    <t>Phenotypic, Biochemical</t>
  </si>
  <si>
    <t>wagner.meza.epg@untrm.edu.pe</t>
  </si>
  <si>
    <t>0009-0003-3556-3866</t>
  </si>
  <si>
    <t>campo, semilla</t>
  </si>
  <si>
    <t>Phenotypic, Genomic</t>
  </si>
  <si>
    <t>https://sirge.inia.gob.pe/consulta?type=8&amp;var=2&amp;col=5</t>
  </si>
  <si>
    <t>Seed and Field</t>
  </si>
  <si>
    <t>Junín</t>
  </si>
  <si>
    <t>Huancayo</t>
  </si>
  <si>
    <t>El Tambo</t>
  </si>
  <si>
    <t>Estación Experimental Agraria Santa Ana</t>
  </si>
  <si>
    <t>Yoel Diaz-Saucedo</t>
  </si>
  <si>
    <t>EEA-SA</t>
  </si>
  <si>
    <r>
      <rPr>
        <u/>
        <sz val="10"/>
        <rFont val="Times New Roman"/>
      </rPr>
      <t>7576425921@untrm.edu.pe</t>
    </r>
  </si>
  <si>
    <r>
      <rPr>
        <i/>
        <sz val="10"/>
        <color theme="1"/>
        <rFont val="Times New Roman"/>
      </rPr>
      <t>Lepidium meyenii</t>
    </r>
    <r>
      <rPr>
        <sz val="10"/>
        <color theme="1"/>
        <rFont val="Times New Roman"/>
      </rPr>
      <t xml:space="preserve"> </t>
    </r>
  </si>
  <si>
    <t>https://sirge.inia.gob.pe/consulta?type=8&amp;var=12&amp;col=32</t>
  </si>
  <si>
    <t>0009-0003-9765-136X</t>
  </si>
  <si>
    <t xml:space="preserve">
Field and in vitro</t>
  </si>
  <si>
    <r>
      <rPr>
        <u/>
        <sz val="10"/>
        <rFont val="Times New Roman"/>
      </rPr>
      <t>i.manrique@cgiar.org</t>
    </r>
  </si>
  <si>
    <t>Field and in vitro</t>
  </si>
  <si>
    <r>
      <rPr>
        <u/>
        <sz val="10"/>
        <color rgb="FF1155CC"/>
        <rFont val="Times New Roman"/>
      </rPr>
      <t>https://repositorio.inia.gob.pe/items/995defe3-7afe-48ca-98b6-d053e11014e9</t>
    </r>
    <r>
      <rPr>
        <sz val="10"/>
        <color rgb="FF1F1F1F"/>
        <rFont val="Times New Roman"/>
      </rPr>
      <t xml:space="preserve">  
</t>
    </r>
    <r>
      <rPr>
        <u/>
        <sz val="10"/>
        <color rgb="FF1155CC"/>
        <rFont val="Times New Roman"/>
      </rPr>
      <t>https://sirge.inia.gob.pe/consulta?type=8&amp;var=1&amp;col=4</t>
    </r>
    <r>
      <rPr>
        <sz val="10"/>
        <rFont val="Times New Roman"/>
      </rPr>
      <t xml:space="preserve"> </t>
    </r>
  </si>
  <si>
    <t>https://sirge.inia.gob.pe/consulta?type=8&amp;var=2&amp;col=6</t>
  </si>
  <si>
    <t>German De La Cruz</t>
  </si>
  <si>
    <r>
      <rPr>
        <u/>
        <sz val="10"/>
        <rFont val="Times New Roman"/>
      </rPr>
      <t>german.delacruz@unsch.edu.pe</t>
    </r>
  </si>
  <si>
    <t>Varieties</t>
  </si>
  <si>
    <t>0000-0001-7618-799X</t>
  </si>
  <si>
    <t>EEA-AMZ</t>
  </si>
  <si>
    <t>accesiones</t>
  </si>
  <si>
    <t>https://sirge.inia.gob.pe/consulta?type=8&amp;var=1&amp;col=4</t>
  </si>
  <si>
    <t>Aquilino Alvarez-Caceres</t>
  </si>
  <si>
    <r>
      <rPr>
        <u/>
        <sz val="10"/>
        <rFont val="Times New Roman"/>
      </rPr>
      <t>aquilino.alvarez@unsaac.edu.pe</t>
    </r>
  </si>
  <si>
    <t>0000-0002-7699-692X</t>
  </si>
  <si>
    <t>Maywa Cecilia Blanco-Zamalloa</t>
  </si>
  <si>
    <r>
      <rPr>
        <u/>
        <sz val="10"/>
        <rFont val="Times New Roman"/>
      </rPr>
      <t>maywa.blanco@unsaac.edu.pe</t>
    </r>
  </si>
  <si>
    <t>https://sirge.inia.gob.pe/consulta?type=8&amp;var=12&amp;col=33</t>
  </si>
  <si>
    <t>0000-0002-3927-8769</t>
  </si>
  <si>
    <r>
      <rPr>
        <i/>
        <sz val="10"/>
        <color theme="1"/>
        <rFont val="Times New Roman"/>
      </rPr>
      <t>Lepidium meyenii</t>
    </r>
    <r>
      <rPr>
        <sz val="10"/>
        <color theme="1"/>
        <rFont val="Times New Roman"/>
      </rPr>
      <t xml:space="preserve"> </t>
    </r>
  </si>
  <si>
    <t>Catalina Jimenez-Aguilar</t>
  </si>
  <si>
    <r>
      <rPr>
        <u/>
        <sz val="10"/>
        <rFont val="Times New Roman"/>
      </rPr>
      <t>catalina.jimenez@unsaac.edu.pe</t>
    </r>
  </si>
  <si>
    <t>UNSAAC</t>
  </si>
  <si>
    <t>Maria Rosario Elsa Valderrama-Valencia</t>
  </si>
  <si>
    <r>
      <rPr>
        <u/>
        <sz val="10"/>
        <rFont val="Times New Roman"/>
      </rPr>
      <t>mvalderramav@unsa.edu.pe</t>
    </r>
  </si>
  <si>
    <t>semilla</t>
  </si>
  <si>
    <t>Lack of adequate infrastructure</t>
  </si>
  <si>
    <t>0000-0002-1515-3195</t>
  </si>
  <si>
    <t>Yes</t>
  </si>
  <si>
    <t>Phenotypic, Genomic, Biochemical</t>
  </si>
  <si>
    <r>
      <rPr>
        <u/>
        <sz val="10"/>
        <rFont val="Times New Roman"/>
      </rPr>
      <t>amhmujica@yahoo.com</t>
    </r>
  </si>
  <si>
    <t>0000-0002-7013-8780</t>
  </si>
  <si>
    <t xml:space="preserve">La Molina </t>
  </si>
  <si>
    <t>Jorge Alberto Condori-Apfata</t>
  </si>
  <si>
    <r>
      <rPr>
        <u/>
        <sz val="10"/>
        <rFont val="Times New Roman"/>
      </rPr>
      <t>jorge.condori@untrm.edu.pe</t>
    </r>
  </si>
  <si>
    <t>CIP</t>
  </si>
  <si>
    <t>0000-0001-9270-1733</t>
  </si>
  <si>
    <t>Fenotípica, Genómica</t>
  </si>
  <si>
    <t>Insufficient financial resources, Technical limitations or insufficient staff training, Limited access to genetic material,Risk of loss of genetic diversity</t>
  </si>
  <si>
    <t xml:space="preserve">Jorge Luis Maicelo Quintana </t>
  </si>
  <si>
    <r>
      <rPr>
        <u/>
        <sz val="10"/>
        <rFont val="Times New Roman"/>
      </rPr>
      <t>jmaicelo@untrm.edu.pe</t>
    </r>
  </si>
  <si>
    <t>0000-0001-9109-0504</t>
  </si>
  <si>
    <t>Flavio Lozano-Isla</t>
  </si>
  <si>
    <t>0000-0002-0714-669X</t>
  </si>
  <si>
    <t>Fenotípica, Genómica, Bioquimica</t>
  </si>
  <si>
    <t>UNSCH</t>
  </si>
  <si>
    <t>Lack of adequate infrastructure, Insufficient financial resources, Risk of loss of genetic diversity</t>
  </si>
  <si>
    <t>Maybe</t>
  </si>
  <si>
    <t>UNA-PUNO</t>
  </si>
  <si>
    <t>Fenotípica, Bioquimica</t>
  </si>
  <si>
    <t>semilla, campo</t>
  </si>
  <si>
    <t>Lack of adequate infrastructure, Insufficient financial resources, Technical limitations or insufficient staff training, Logistical challenges for distribution or regeneration</t>
  </si>
  <si>
    <t xml:space="preserve">Yes </t>
  </si>
  <si>
    <t>Fenotípica</t>
  </si>
  <si>
    <t>UNTRM</t>
  </si>
  <si>
    <t>Insufficient financial resources</t>
  </si>
  <si>
    <t>Insufficient financial resources, Logistical challenges for distribution or regeneration</t>
  </si>
  <si>
    <t>Insufficient financial resources, Risk of loss of genetic diversity</t>
  </si>
  <si>
    <t>Lack of adequate infrastructure, Insufficient financial resources, Limited access to genetic material</t>
  </si>
  <si>
    <t>UNSA</t>
  </si>
  <si>
    <t xml:space="preserve">semilla </t>
  </si>
  <si>
    <t>Inadequate infrastructure, Insufficient financial resources, Limited access to genetic material, Risk of loss of genetic diversity, Difficulties in documentation and information management,  Logistical challenges for distribution or regeneration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</si>
</sst>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0"/>
      <color rgb="FF000000"/>
      <name val="Arial"/>
      <scheme val="minor"/>
    </font>
    <font>
      <b/>
      <sz val="10"/>
      <color theme="1"/>
      <name val="Times New Roman"/>
    </font>
    <font>
      <b/>
      <sz val="10"/>
      <color theme="1"/>
      <name val="Times New Roman"/>
    </font>
    <font>
      <sz val="10"/>
      <color theme="1"/>
      <name val="Times New Roman"/>
    </font>
    <font>
      <sz val="10"/>
      <color theme="1"/>
      <name val="Times New Roman"/>
    </font>
    <font>
      <b/>
      <sz val="11"/>
      <color theme="1"/>
      <name val="Times New Roman"/>
    </font>
    <font>
      <u/>
      <sz val="10"/>
      <color rgb="FF0000FF"/>
      <name val="Times New Roman"/>
    </font>
    <font>
      <sz val="11"/>
      <color rgb="FF000000"/>
      <name val="'Times New Roman'"/>
    </font>
    <font>
      <sz val="10"/>
      <color rgb="FF0000FF"/>
      <name val="Times New Roman"/>
    </font>
    <font>
      <b/>
      <sz val="10"/>
      <color rgb="FF1F1F1F"/>
      <name val="Times New Roman"/>
    </font>
    <font>
      <b/>
      <sz val="9"/>
      <color rgb="FF000000"/>
      <name val="Times New Roman"/>
    </font>
    <font>
      <sz val="9"/>
      <color rgb="FF000000"/>
      <name val="Times New Roman"/>
    </font>
    <font>
      <b/>
      <i/>
      <sz val="10"/>
      <color theme="1"/>
      <name val="Times New Roman"/>
    </font>
    <font>
      <i/>
      <sz val="10"/>
      <color theme="1"/>
      <name val="Times New Roman"/>
    </font>
    <font>
      <u/>
      <sz val="9"/>
      <color rgb="FF000000"/>
      <name val="Times New Roman"/>
    </font>
    <font>
      <u/>
      <sz val="10"/>
      <color rgb="FF0000FF"/>
      <name val="Times New Roman"/>
    </font>
    <font>
      <u/>
      <sz val="9"/>
      <color rgb="FF000000"/>
      <name val="Times New Roman"/>
    </font>
    <font>
      <u/>
      <sz val="10"/>
      <color rgb="FF0000FF"/>
      <name val="Times New Roman"/>
    </font>
    <font>
      <i/>
      <sz val="10"/>
      <color rgb="FF212529"/>
      <name val="Times New Roman"/>
    </font>
    <font>
      <sz val="11"/>
      <color theme="1"/>
      <name val="Times New Roman"/>
    </font>
    <font>
      <u/>
      <sz val="10"/>
      <color rgb="FF0000FF"/>
      <name val="Times New Roman"/>
    </font>
    <font>
      <u/>
      <sz val="10"/>
      <color theme="1"/>
      <name val="Times New Roman"/>
    </font>
    <font>
      <u/>
      <sz val="10"/>
      <color rgb="FF0000FF"/>
      <name val="Times New Roman"/>
    </font>
    <font>
      <i/>
      <sz val="10"/>
      <color theme="1"/>
      <name val="Times New Roman"/>
    </font>
    <font>
      <u/>
      <sz val="10"/>
      <color rgb="FF0000FF"/>
      <name val="Times New Roman"/>
    </font>
    <font>
      <sz val="10"/>
      <name val="Arial"/>
    </font>
    <font>
      <sz val="11"/>
      <color rgb="FF000000"/>
      <name val="'Times New Roman',serif"/>
    </font>
    <font>
      <i/>
      <sz val="11"/>
      <color rgb="FF000000"/>
      <name val="'Times New Roman',serif"/>
    </font>
    <font>
      <u/>
      <sz val="10"/>
      <color rgb="FF1155CC"/>
      <name val="Times New Roman"/>
    </font>
    <font>
      <sz val="10"/>
      <color rgb="FF1F1F1F"/>
      <name val="Times New Roman"/>
    </font>
    <font>
      <sz val="10"/>
      <name val="Times New Roman"/>
    </font>
    <font>
      <u/>
      <sz val="10"/>
      <name val="Times New Roman"/>
    </font>
  </fonts>
  <fills count="6">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8F9FA"/>
        <bgColor rgb="FFF8F9FA"/>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87">
    <xf numFmtId="0" fontId="0" fillId="0" borderId="0" xfId="0" applyFont="1" applyAlignment="1"/>
    <xf numFmtId="0" fontId="1" fillId="0" borderId="0" xfId="0" applyFont="1" applyAlignment="1">
      <alignment horizontal="center" vertical="top" wrapText="1"/>
    </xf>
    <xf numFmtId="0" fontId="2" fillId="2" borderId="1" xfId="0" applyFont="1" applyFill="1" applyBorder="1" applyAlignment="1">
      <alignment horizontal="center" wrapText="1"/>
    </xf>
    <xf numFmtId="0" fontId="3" fillId="0" borderId="0" xfId="0" applyFont="1" applyAlignment="1">
      <alignment horizontal="left" wrapText="1"/>
    </xf>
    <xf numFmtId="0" fontId="4" fillId="0" borderId="1" xfId="0" applyFont="1" applyBorder="1" applyAlignment="1">
      <alignment horizontal="center" vertical="center" wrapText="1"/>
    </xf>
    <xf numFmtId="0" fontId="5" fillId="0" borderId="0" xfId="0" applyFont="1" applyAlignment="1">
      <alignment horizontal="center" wrapText="1"/>
    </xf>
    <xf numFmtId="0" fontId="6" fillId="0" borderId="1" xfId="0" applyFont="1" applyBorder="1" applyAlignment="1">
      <alignment horizontal="center" wrapText="1"/>
    </xf>
    <xf numFmtId="0" fontId="5" fillId="0" borderId="0" xfId="0" applyFont="1" applyAlignment="1">
      <alignment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8" fillId="0" borderId="1" xfId="0" applyFont="1"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center"/>
    </xf>
    <xf numFmtId="0" fontId="9" fillId="0" borderId="1" xfId="0" applyFont="1" applyBorder="1" applyAlignment="1">
      <alignment horizontal="center" vertical="center" wrapText="1"/>
    </xf>
    <xf numFmtId="0" fontId="4" fillId="0" borderId="1" xfId="0" applyFont="1" applyBorder="1" applyAlignment="1">
      <alignment horizontal="center" wrapText="1"/>
    </xf>
    <xf numFmtId="0" fontId="10" fillId="0" borderId="2" xfId="0" applyFont="1" applyBorder="1" applyAlignment="1">
      <alignment horizontal="center" vertical="center"/>
    </xf>
    <xf numFmtId="0" fontId="1" fillId="0" borderId="1" xfId="0" applyFont="1" applyBorder="1" applyAlignment="1">
      <alignment horizontal="center"/>
    </xf>
    <xf numFmtId="0" fontId="11" fillId="0" borderId="3" xfId="0" applyFont="1" applyBorder="1" applyAlignment="1">
      <alignment horizontal="center" vertical="center"/>
    </xf>
    <xf numFmtId="0" fontId="1" fillId="0" borderId="1" xfId="0" applyFont="1" applyBorder="1" applyAlignment="1">
      <alignment horizontal="center"/>
    </xf>
    <xf numFmtId="0" fontId="11" fillId="3" borderId="3" xfId="0" applyFont="1" applyFill="1" applyBorder="1" applyAlignment="1">
      <alignment horizontal="center" vertical="center"/>
    </xf>
    <xf numFmtId="0" fontId="11" fillId="0" borderId="0" xfId="0" applyFont="1" applyAlignment="1">
      <alignment horizontal="center"/>
    </xf>
    <xf numFmtId="0" fontId="12" fillId="0" borderId="1" xfId="0" applyFont="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0" fontId="13" fillId="0" borderId="1" xfId="0" applyFont="1" applyBorder="1" applyAlignment="1">
      <alignment horizontal="center" vertical="center" wrapText="1"/>
    </xf>
    <xf numFmtId="0" fontId="12" fillId="0" borderId="0" xfId="0" applyFont="1" applyAlignment="1">
      <alignment horizontal="center"/>
    </xf>
    <xf numFmtId="0" fontId="3" fillId="0" borderId="1" xfId="0" applyFont="1" applyBorder="1" applyAlignment="1">
      <alignment horizontal="center"/>
    </xf>
    <xf numFmtId="0" fontId="11" fillId="0" borderId="0" xfId="0" applyFont="1" applyAlignment="1">
      <alignment horizontal="center" wrapText="1"/>
    </xf>
    <xf numFmtId="0" fontId="11" fillId="0" borderId="0" xfId="0" applyFont="1" applyAlignment="1">
      <alignment horizontal="center"/>
    </xf>
    <xf numFmtId="0" fontId="14" fillId="0" borderId="0" xfId="0" applyFont="1" applyAlignment="1">
      <alignment horizontal="center"/>
    </xf>
    <xf numFmtId="0" fontId="3" fillId="0" borderId="0" xfId="0" applyFont="1" applyAlignment="1">
      <alignment horizontal="center"/>
    </xf>
    <xf numFmtId="0" fontId="15" fillId="0" borderId="1"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center"/>
    </xf>
    <xf numFmtId="0" fontId="16" fillId="0" borderId="0" xfId="0" applyFont="1" applyAlignment="1">
      <alignment horizontal="center"/>
    </xf>
    <xf numFmtId="0" fontId="4" fillId="0" borderId="1" xfId="0" applyFont="1" applyBorder="1" applyAlignment="1">
      <alignment horizontal="center"/>
    </xf>
    <xf numFmtId="0" fontId="8" fillId="0" borderId="1" xfId="0" applyFont="1" applyBorder="1" applyAlignment="1">
      <alignment horizontal="center"/>
    </xf>
    <xf numFmtId="0" fontId="11" fillId="0" borderId="4" xfId="0" applyFont="1" applyBorder="1" applyAlignment="1">
      <alignment horizontal="center"/>
    </xf>
    <xf numFmtId="0" fontId="11" fillId="0" borderId="4" xfId="0" applyFont="1" applyBorder="1" applyAlignment="1">
      <alignment horizontal="center" wrapText="1"/>
    </xf>
    <xf numFmtId="0" fontId="17" fillId="0" borderId="1" xfId="0" applyFont="1" applyBorder="1" applyAlignment="1">
      <alignment horizontal="center" vertical="center" wrapText="1"/>
    </xf>
    <xf numFmtId="49" fontId="2" fillId="4" borderId="1" xfId="0" applyNumberFormat="1" applyFont="1" applyFill="1" applyBorder="1" applyAlignment="1">
      <alignment horizontal="center"/>
    </xf>
    <xf numFmtId="0" fontId="3" fillId="0" borderId="1" xfId="0" applyFont="1" applyBorder="1" applyAlignment="1">
      <alignment horizontal="center"/>
    </xf>
    <xf numFmtId="0" fontId="3" fillId="0" borderId="1" xfId="0" quotePrefix="1" applyFont="1" applyBorder="1" applyAlignment="1">
      <alignment horizontal="center"/>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4" fillId="0" borderId="1" xfId="0" applyFont="1" applyBorder="1" applyAlignment="1">
      <alignment horizontal="left"/>
    </xf>
    <xf numFmtId="0" fontId="4" fillId="0" borderId="0" xfId="0" applyFont="1" applyAlignment="1">
      <alignment horizontal="center" vertical="center" wrapText="1"/>
    </xf>
    <xf numFmtId="0" fontId="4" fillId="0" borderId="1" xfId="0" applyFont="1" applyBorder="1" applyAlignment="1">
      <alignment horizontal="left"/>
    </xf>
    <xf numFmtId="0" fontId="18" fillId="0" borderId="0" xfId="0" applyFont="1" applyAlignment="1">
      <alignment horizontal="center" vertical="center" wrapText="1"/>
    </xf>
    <xf numFmtId="0" fontId="3" fillId="0" borderId="0" xfId="0" applyFont="1" applyAlignment="1">
      <alignment horizontal="center" vertical="center" wrapText="1"/>
    </xf>
    <xf numFmtId="0" fontId="4" fillId="0" borderId="1" xfId="0" applyFont="1" applyBorder="1" applyAlignment="1"/>
    <xf numFmtId="0" fontId="19" fillId="0" borderId="0" xfId="0" applyFont="1" applyAlignment="1">
      <alignment horizontal="center"/>
    </xf>
    <xf numFmtId="0" fontId="4" fillId="0" borderId="1" xfId="0" applyFont="1" applyBorder="1" applyAlignment="1"/>
    <xf numFmtId="0" fontId="3" fillId="0" borderId="1" xfId="0" applyFont="1" applyBorder="1" applyAlignment="1">
      <alignment horizontal="center" wrapText="1"/>
    </xf>
    <xf numFmtId="0" fontId="3" fillId="0" borderId="1" xfId="0" applyFont="1" applyBorder="1" applyAlignment="1">
      <alignment horizontal="center" wrapText="1"/>
    </xf>
    <xf numFmtId="0" fontId="20" fillId="0" borderId="0" xfId="0" applyFont="1" applyAlignment="1">
      <alignment horizontal="center" vertical="center" wrapText="1"/>
    </xf>
    <xf numFmtId="0" fontId="1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xf>
    <xf numFmtId="0" fontId="21" fillId="0" borderId="1" xfId="0" applyFont="1" applyBorder="1" applyAlignment="1">
      <alignment horizontal="left"/>
    </xf>
    <xf numFmtId="0" fontId="3" fillId="0" borderId="0" xfId="0" applyFont="1" applyAlignment="1">
      <alignment horizontal="center" vertical="center" wrapText="1"/>
    </xf>
    <xf numFmtId="0" fontId="22" fillId="0" borderId="1" xfId="0" applyFont="1" applyBorder="1" applyAlignment="1">
      <alignment horizontal="left"/>
    </xf>
    <xf numFmtId="0" fontId="4" fillId="0" borderId="1" xfId="0" applyFont="1" applyBorder="1" applyAlignment="1">
      <alignment horizontal="left"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23" fillId="0" borderId="1" xfId="0" applyFont="1" applyBorder="1" applyAlignment="1">
      <alignment horizontal="center" vertical="center"/>
    </xf>
    <xf numFmtId="0" fontId="4" fillId="0" borderId="1" xfId="0" applyFont="1" applyBorder="1" applyAlignment="1">
      <alignment horizontal="left"/>
    </xf>
    <xf numFmtId="0" fontId="2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4" fillId="0" borderId="0" xfId="0" applyFont="1" applyAlignment="1">
      <alignment horizontal="center" vertical="center" wrapText="1"/>
    </xf>
    <xf numFmtId="0" fontId="3" fillId="0" borderId="1" xfId="0" applyFont="1" applyBorder="1" applyAlignment="1">
      <alignment horizontal="center"/>
    </xf>
    <xf numFmtId="0" fontId="18" fillId="0" borderId="1" xfId="0" applyFont="1" applyBorder="1" applyAlignment="1">
      <alignment horizontal="center" vertical="center" wrapText="1"/>
    </xf>
    <xf numFmtId="0" fontId="23" fillId="0" borderId="0" xfId="0" applyFont="1" applyAlignment="1">
      <alignment horizontal="center" vertical="center" wrapText="1"/>
    </xf>
    <xf numFmtId="0" fontId="4" fillId="0" borderId="0" xfId="0" applyFont="1" applyAlignment="1">
      <alignment horizontal="center" vertical="center" wrapText="1"/>
    </xf>
    <xf numFmtId="0" fontId="1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pplyAlignment="1">
      <alignment horizontal="left"/>
    </xf>
    <xf numFmtId="0" fontId="3" fillId="0" borderId="1" xfId="0" applyFont="1" applyBorder="1" applyAlignment="1">
      <alignment horizontal="center"/>
    </xf>
    <xf numFmtId="0" fontId="3" fillId="3" borderId="0" xfId="0" applyFont="1" applyFill="1" applyAlignment="1">
      <alignment horizontal="center" vertical="center" wrapText="1"/>
    </xf>
    <xf numFmtId="0" fontId="0" fillId="0" borderId="0" xfId="0" applyFont="1" applyAlignment="1"/>
    <xf numFmtId="0" fontId="3" fillId="0" borderId="0" xfId="0" applyFont="1" applyAlignment="1">
      <alignment horizontal="center" vertical="center" wrapText="1"/>
    </xf>
    <xf numFmtId="0" fontId="3" fillId="5" borderId="0" xfId="0" applyFont="1" applyFill="1" applyAlignment="1">
      <alignment horizontal="center" vertical="center" wrapText="1"/>
    </xf>
    <xf numFmtId="0" fontId="4" fillId="0" borderId="0" xfId="0" applyFont="1" applyAlignment="1">
      <alignment horizontal="center" vertical="center" wrapText="1"/>
    </xf>
    <xf numFmtId="0" fontId="25" fillId="0" borderId="4" xfId="0" applyFont="1" applyBorder="1"/>
  </cellXfs>
  <cellStyles count="1">
    <cellStyle name="Normal" xfId="0" builtinId="0"/>
  </cellStyles>
  <dxfs count="26">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13">
    <tableStyle name="STable-2-style" pivot="0" count="2" xr9:uid="{00000000-0011-0000-FFFF-FFFF00000000}">
      <tableStyleElement type="firstRowStripe" dxfId="25"/>
      <tableStyleElement type="secondRowStripe" dxfId="24"/>
    </tableStyle>
    <tableStyle name="STable-2-style 2" pivot="0" count="2" xr9:uid="{00000000-0011-0000-FFFF-FFFF01000000}">
      <tableStyleElement type="firstRowStripe" dxfId="23"/>
      <tableStyleElement type="secondRowStripe" dxfId="22"/>
    </tableStyle>
    <tableStyle name="STable-2-style 3" pivot="0" count="2" xr9:uid="{00000000-0011-0000-FFFF-FFFF02000000}">
      <tableStyleElement type="firstRowStripe" dxfId="21"/>
      <tableStyleElement type="secondRowStripe" dxfId="20"/>
    </tableStyle>
    <tableStyle name="STable-2-style 4" pivot="0" count="2" xr9:uid="{00000000-0011-0000-FFFF-FFFF03000000}">
      <tableStyleElement type="firstRowStripe" dxfId="19"/>
      <tableStyleElement type="secondRowStripe" dxfId="18"/>
    </tableStyle>
    <tableStyle name="STable-2-style 5" pivot="0" count="2" xr9:uid="{00000000-0011-0000-FFFF-FFFF04000000}">
      <tableStyleElement type="firstRowStripe" dxfId="17"/>
      <tableStyleElement type="secondRowStripe" dxfId="16"/>
    </tableStyle>
    <tableStyle name="STable-2-style 6" pivot="0" count="2" xr9:uid="{00000000-0011-0000-FFFF-FFFF05000000}">
      <tableStyleElement type="firstRowStripe" dxfId="15"/>
      <tableStyleElement type="secondRowStripe" dxfId="14"/>
    </tableStyle>
    <tableStyle name="STable-2-style 7" pivot="0" count="2" xr9:uid="{00000000-0011-0000-FFFF-FFFF06000000}">
      <tableStyleElement type="firstRowStripe" dxfId="13"/>
      <tableStyleElement type="secondRowStripe" dxfId="12"/>
    </tableStyle>
    <tableStyle name="STable-2-style 8" pivot="0" count="2" xr9:uid="{00000000-0011-0000-FFFF-FFFF07000000}">
      <tableStyleElement type="firstRowStripe" dxfId="11"/>
      <tableStyleElement type="secondRowStripe" dxfId="10"/>
    </tableStyle>
    <tableStyle name="STable-2-style 9" pivot="0" count="2" xr9:uid="{00000000-0011-0000-FFFF-FFFF08000000}">
      <tableStyleElement type="firstRowStripe" dxfId="9"/>
      <tableStyleElement type="secondRowStripe" dxfId="8"/>
    </tableStyle>
    <tableStyle name="STable-2-style 10" pivot="0" count="2" xr9:uid="{00000000-0011-0000-FFFF-FFFF09000000}">
      <tableStyleElement type="firstRowStripe" dxfId="7"/>
      <tableStyleElement type="secondRowStripe" dxfId="6"/>
    </tableStyle>
    <tableStyle name="STable-2-style 11" pivot="0" count="2" xr9:uid="{00000000-0011-0000-FFFF-FFFF0A000000}">
      <tableStyleElement type="firstRowStripe" dxfId="5"/>
      <tableStyleElement type="secondRowStripe" dxfId="4"/>
    </tableStyle>
    <tableStyle name="fb-style" pivot="0" count="2" xr9:uid="{00000000-0011-0000-FFFF-FFFF0B000000}">
      <tableStyleElement type="firstRowStripe" dxfId="3"/>
      <tableStyleElement type="secondRowStripe" dxfId="2"/>
    </tableStyle>
    <tableStyle name="Copia de emergentes-style" pivot="0" count="2" xr9:uid="{00000000-0011-0000-FFFF-FFFF0C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2" headerRowCount="0">
  <tableColumns count="3">
    <tableColumn id="1" xr3:uid="{00000000-0010-0000-0000-000001000000}" name="Column1"/>
    <tableColumn id="2" xr3:uid="{00000000-0010-0000-0000-000002000000}" name="Column2"/>
    <tableColumn id="3" xr3:uid="{00000000-0010-0000-0000-000003000000}" name="Column3"/>
  </tableColumns>
  <tableStyleInfo name="STable-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C3" headerRowCount="0">
  <tableColumns count="3">
    <tableColumn id="1" xr3:uid="{00000000-0010-0000-0100-000001000000}" name="Column1"/>
    <tableColumn id="2" xr3:uid="{00000000-0010-0000-0100-000002000000}" name="Column2"/>
    <tableColumn id="3" xr3:uid="{00000000-0010-0000-0100-000003000000}" name="Column3"/>
  </tableColumns>
  <tableStyleInfo name="STable-2-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C4" headerRowCount="0">
  <tableColumns count="3">
    <tableColumn id="1" xr3:uid="{00000000-0010-0000-0200-000001000000}" name="Column1"/>
    <tableColumn id="2" xr3:uid="{00000000-0010-0000-0200-000002000000}" name="Column2"/>
    <tableColumn id="3" xr3:uid="{00000000-0010-0000-0200-000003000000}" name="Column3"/>
  </tableColumns>
  <tableStyleInfo name="STable-2-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C5" headerRowCount="0">
  <tableColumns count="3">
    <tableColumn id="1" xr3:uid="{00000000-0010-0000-0300-000001000000}" name="Column1"/>
    <tableColumn id="2" xr3:uid="{00000000-0010-0000-0300-000002000000}" name="Column2"/>
    <tableColumn id="3" xr3:uid="{00000000-0010-0000-0300-000003000000}" name="Column3"/>
  </tableColumns>
  <tableStyleInfo name="STable-2-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C6" headerRowCount="0">
  <tableColumns count="3">
    <tableColumn id="1" xr3:uid="{00000000-0010-0000-0400-000001000000}" name="Column1"/>
    <tableColumn id="2" xr3:uid="{00000000-0010-0000-0400-000002000000}" name="Column2"/>
    <tableColumn id="3" xr3:uid="{00000000-0010-0000-0400-000003000000}" name="Column3"/>
  </tableColumns>
  <tableStyleInfo name="STable-2-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7:C7" headerRowCount="0">
  <tableColumns count="3">
    <tableColumn id="1" xr3:uid="{00000000-0010-0000-0500-000001000000}" name="Column1"/>
    <tableColumn id="2" xr3:uid="{00000000-0010-0000-0500-000002000000}" name="Column2"/>
    <tableColumn id="3" xr3:uid="{00000000-0010-0000-0500-000003000000}" name="Column3"/>
  </tableColumns>
  <tableStyleInfo name="STable-2-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8:C8" headerRowCount="0">
  <tableColumns count="3">
    <tableColumn id="1" xr3:uid="{00000000-0010-0000-0600-000001000000}" name="Column1"/>
    <tableColumn id="2" xr3:uid="{00000000-0010-0000-0600-000002000000}" name="Column2"/>
    <tableColumn id="3" xr3:uid="{00000000-0010-0000-0600-000003000000}" name="Column3"/>
  </tableColumns>
  <tableStyleInfo name="STable-2-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9:C9" headerRowCount="0">
  <tableColumns count="3">
    <tableColumn id="1" xr3:uid="{00000000-0010-0000-0700-000001000000}" name="Column1"/>
    <tableColumn id="2" xr3:uid="{00000000-0010-0000-0700-000002000000}" name="Column2"/>
    <tableColumn id="3" xr3:uid="{00000000-0010-0000-0700-000003000000}" name="Column3"/>
  </tableColumns>
  <tableStyleInfo name="STable-2-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1:C11" headerRowCount="0">
  <tableColumns count="3">
    <tableColumn id="1" xr3:uid="{00000000-0010-0000-0800-000001000000}" name="Column1"/>
    <tableColumn id="2" xr3:uid="{00000000-0010-0000-0800-000002000000}" name="Column2"/>
    <tableColumn id="3" xr3:uid="{00000000-0010-0000-0800-000003000000}" name="Column3"/>
  </tableColumns>
  <tableStyleInfo name="STable-2-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3:C13" headerRowCount="0">
  <tableColumns count="3">
    <tableColumn id="1" xr3:uid="{00000000-0010-0000-0900-000001000000}" name="Column1"/>
    <tableColumn id="2" xr3:uid="{00000000-0010-0000-0900-000002000000}" name="Column2"/>
    <tableColumn id="3" xr3:uid="{00000000-0010-0000-0900-000003000000}" name="Column3"/>
  </tableColumns>
  <tableStyleInfo name="STable-2-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4:C16" headerRowCount="0">
  <tableColumns count="3">
    <tableColumn id="1" xr3:uid="{00000000-0010-0000-0A00-000001000000}" name="Column1"/>
    <tableColumn id="2" xr3:uid="{00000000-0010-0000-0A00-000002000000}" name="Column2"/>
    <tableColumn id="3" xr3:uid="{00000000-0010-0000-0A00-000003000000}" name="Column3"/>
  </tableColumns>
  <tableStyleInfo name="STable-2-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1:S15" headerRowCount="0">
  <tableColumns count="19">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s>
  <tableStyleInfo name="fb-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9" headerRowCount="0">
  <tableColumns count="1">
    <tableColumn id="1" xr3:uid="{00000000-0010-0000-0C00-000001000000}" name="Column1"/>
  </tableColumns>
  <tableStyleInfo name="Copia de emergen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gob.pe/institucion/inia/funcionarios/101592-dina-lida-gutierrez-reynos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irge.inia.gob.pe/consulta?type=8&amp;var=12&amp;col=32" TargetMode="External"/><Relationship Id="rId13" Type="http://schemas.openxmlformats.org/officeDocument/2006/relationships/table" Target="../tables/table1.xml"/><Relationship Id="rId18" Type="http://schemas.openxmlformats.org/officeDocument/2006/relationships/table" Target="../tables/table6.xml"/><Relationship Id="rId3" Type="http://schemas.openxmlformats.org/officeDocument/2006/relationships/hyperlink" Target="https://repositorio.inia.gob.pe/items/995defe3-7afe-48ca-98b6-d053e11014e9" TargetMode="External"/><Relationship Id="rId21" Type="http://schemas.openxmlformats.org/officeDocument/2006/relationships/table" Target="../tables/table9.xml"/><Relationship Id="rId7" Type="http://schemas.openxmlformats.org/officeDocument/2006/relationships/hyperlink" Target="https://sirge.inia.gob.pe/consulta?type=8&amp;var=2&amp;col=5" TargetMode="External"/><Relationship Id="rId12" Type="http://schemas.openxmlformats.org/officeDocument/2006/relationships/hyperlink" Target="https://sirge.inia.gob.pe/consulta?type=8&amp;var=1&amp;col=4" TargetMode="External"/><Relationship Id="rId17" Type="http://schemas.openxmlformats.org/officeDocument/2006/relationships/table" Target="../tables/table5.xml"/><Relationship Id="rId2" Type="http://schemas.openxmlformats.org/officeDocument/2006/relationships/hyperlink" Target="https://repositorio.inia.gob.pe/items/569b0cc9-ce2e-490a-95cd-4db16b828d95" TargetMode="External"/><Relationship Id="rId16" Type="http://schemas.openxmlformats.org/officeDocument/2006/relationships/table" Target="../tables/table4.xml"/><Relationship Id="rId20" Type="http://schemas.openxmlformats.org/officeDocument/2006/relationships/table" Target="../tables/table8.xml"/><Relationship Id="rId1" Type="http://schemas.openxmlformats.org/officeDocument/2006/relationships/hyperlink" Target="https://repositorio.inia.gob.pe/items/b12f51da-f580-4854-94d0-bc77c5817ce3" TargetMode="External"/><Relationship Id="rId6" Type="http://schemas.openxmlformats.org/officeDocument/2006/relationships/hyperlink" Target="https://sirge.inia.gob.pe/consulta?type=8&amp;var=7&amp;col=25" TargetMode="External"/><Relationship Id="rId11" Type="http://schemas.openxmlformats.org/officeDocument/2006/relationships/hyperlink" Target="https://sirge.inia.gob.pe/consulta?type=8&amp;var=12&amp;col=33" TargetMode="External"/><Relationship Id="rId5" Type="http://schemas.openxmlformats.org/officeDocument/2006/relationships/hyperlink" Target="https://sirge.inia.gob.pe/consulta?type=8&amp;var=7&amp;col=24" TargetMode="External"/><Relationship Id="rId15" Type="http://schemas.openxmlformats.org/officeDocument/2006/relationships/table" Target="../tables/table3.xml"/><Relationship Id="rId23" Type="http://schemas.openxmlformats.org/officeDocument/2006/relationships/table" Target="../tables/table11.xml"/><Relationship Id="rId10" Type="http://schemas.openxmlformats.org/officeDocument/2006/relationships/hyperlink" Target="https://sirge.inia.gob.pe/consulta?type=8&amp;var=15&amp;col=51" TargetMode="External"/><Relationship Id="rId19" Type="http://schemas.openxmlformats.org/officeDocument/2006/relationships/table" Target="../tables/table7.xml"/><Relationship Id="rId4" Type="http://schemas.openxmlformats.org/officeDocument/2006/relationships/hyperlink" Target="https://repositorio.inia.gob.pe/server/api/core/bitstreams/06b66d94-b8d6-432c-b29c-42b5db9de9fb/content" TargetMode="External"/><Relationship Id="rId9" Type="http://schemas.openxmlformats.org/officeDocument/2006/relationships/hyperlink" Target="https://sirge.inia.gob.pe/consulta?type=8&amp;var=2&amp;col=6" TargetMode="External"/><Relationship Id="rId14" Type="http://schemas.openxmlformats.org/officeDocument/2006/relationships/table" Target="../tables/table2.xml"/><Relationship Id="rId22"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8" Type="http://schemas.openxmlformats.org/officeDocument/2006/relationships/hyperlink" Target="mailto:amhmujica@yahoo.com" TargetMode="External"/><Relationship Id="rId3" Type="http://schemas.openxmlformats.org/officeDocument/2006/relationships/hyperlink" Target="mailto:german.delacruz@unsch.edu.pe" TargetMode="External"/><Relationship Id="rId7" Type="http://schemas.openxmlformats.org/officeDocument/2006/relationships/hyperlink" Target="mailto:mvalderramav@unsa.edu.pe" TargetMode="External"/><Relationship Id="rId12" Type="http://schemas.openxmlformats.org/officeDocument/2006/relationships/comments" Target="../comments1.xml"/><Relationship Id="rId2" Type="http://schemas.openxmlformats.org/officeDocument/2006/relationships/hyperlink" Target="mailto:i.manrique@cgiar.org" TargetMode="External"/><Relationship Id="rId1" Type="http://schemas.openxmlformats.org/officeDocument/2006/relationships/hyperlink" Target="mailto:7576425921@untrm.edu.pe" TargetMode="External"/><Relationship Id="rId6" Type="http://schemas.openxmlformats.org/officeDocument/2006/relationships/hyperlink" Target="mailto:catalina.jimenez@unsaac.edu.pe" TargetMode="External"/><Relationship Id="rId11" Type="http://schemas.openxmlformats.org/officeDocument/2006/relationships/vmlDrawing" Target="../drawings/vmlDrawing1.vml"/><Relationship Id="rId5" Type="http://schemas.openxmlformats.org/officeDocument/2006/relationships/hyperlink" Target="mailto:maywa.blanco@unsaac.edu.pe" TargetMode="External"/><Relationship Id="rId10" Type="http://schemas.openxmlformats.org/officeDocument/2006/relationships/hyperlink" Target="mailto:jmaicelo@untrm.edu.pe" TargetMode="External"/><Relationship Id="rId4" Type="http://schemas.openxmlformats.org/officeDocument/2006/relationships/hyperlink" Target="mailto:aquilino.alvarez@unsaac.edu.pe" TargetMode="External"/><Relationship Id="rId9" Type="http://schemas.openxmlformats.org/officeDocument/2006/relationships/hyperlink" Target="mailto:jorge.condori@untrm.edu.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sirge.inia.gob.pe/consulta?type=8&amp;var=12&amp;col=32" TargetMode="External"/><Relationship Id="rId13" Type="http://schemas.openxmlformats.org/officeDocument/2006/relationships/table" Target="../tables/table13.xml"/><Relationship Id="rId3" Type="http://schemas.openxmlformats.org/officeDocument/2006/relationships/hyperlink" Target="https://sirge.inia.gob.pe/consulta?type=8&amp;var=2&amp;col=5" TargetMode="External"/><Relationship Id="rId7" Type="http://schemas.openxmlformats.org/officeDocument/2006/relationships/hyperlink" Target="https://sirge.inia.gob.pe/consulta?type=8&amp;var=1&amp;col=4" TargetMode="External"/><Relationship Id="rId12" Type="http://schemas.openxmlformats.org/officeDocument/2006/relationships/hyperlink" Target="https://sirge.inia.gob.pe/consulta?type=8&amp;var=7&amp;col=25" TargetMode="External"/><Relationship Id="rId2" Type="http://schemas.openxmlformats.org/officeDocument/2006/relationships/hyperlink" Target="https://repositorio.inia.gob.pe/items/569b0cc9-ce2e-490a-95cd-4db16b828d95" TargetMode="External"/><Relationship Id="rId1" Type="http://schemas.openxmlformats.org/officeDocument/2006/relationships/hyperlink" Target="https://sirge.inia.gob.pe/consulta?type=8&amp;var=15&amp;col=51" TargetMode="External"/><Relationship Id="rId6" Type="http://schemas.openxmlformats.org/officeDocument/2006/relationships/hyperlink" Target="https://repositorio.inia.gob.pe/server/api/core/bitstreams/06b66d94-b8d6-432c-b29c-42b5db9de9fb/content" TargetMode="External"/><Relationship Id="rId11" Type="http://schemas.openxmlformats.org/officeDocument/2006/relationships/hyperlink" Target="https://sirge.inia.gob.pe/consulta?type=8&amp;var=7&amp;col=24" TargetMode="External"/><Relationship Id="rId5" Type="http://schemas.openxmlformats.org/officeDocument/2006/relationships/hyperlink" Target="https://repositorio.inia.gob.pe/items/995defe3-7afe-48ca-98b6-d053e11014e9" TargetMode="External"/><Relationship Id="rId10" Type="http://schemas.openxmlformats.org/officeDocument/2006/relationships/hyperlink" Target="https://sirge.inia.gob.pe/consulta?type=8&amp;var=12&amp;col=33" TargetMode="External"/><Relationship Id="rId4" Type="http://schemas.openxmlformats.org/officeDocument/2006/relationships/hyperlink" Target="https://repositorio.inia.gob.pe/items/b12f51da-f580-4854-94d0-bc77c5817ce3" TargetMode="External"/><Relationship Id="rId9" Type="http://schemas.openxmlformats.org/officeDocument/2006/relationships/hyperlink" Target="https://sirge.inia.gob.pe/consulta?type=8&amp;var=2&amp;col=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
  <sheetViews>
    <sheetView workbookViewId="0"/>
  </sheetViews>
  <sheetFormatPr baseColWidth="10" defaultColWidth="12.6640625" defaultRowHeight="15.75" customHeight="1"/>
  <cols>
    <col min="1" max="1" width="21.21875" customWidth="1"/>
    <col min="2" max="2" width="70.6640625" customWidth="1"/>
  </cols>
  <sheetData>
    <row r="1" spans="1:2">
      <c r="A1" s="1" t="s">
        <v>0</v>
      </c>
      <c r="B1" s="1" t="s">
        <v>2</v>
      </c>
    </row>
    <row r="2" spans="1:2">
      <c r="A2" s="1" t="s">
        <v>3</v>
      </c>
      <c r="B2" s="3" t="s">
        <v>4</v>
      </c>
    </row>
    <row r="3" spans="1:2">
      <c r="A3" s="1" t="s">
        <v>6</v>
      </c>
      <c r="B3" s="3" t="s">
        <v>7</v>
      </c>
    </row>
    <row r="4" spans="1:2">
      <c r="A4" s="1" t="s">
        <v>9</v>
      </c>
      <c r="B4" s="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3"/>
  <sheetViews>
    <sheetView workbookViewId="0"/>
  </sheetViews>
  <sheetFormatPr baseColWidth="10" defaultColWidth="12.6640625" defaultRowHeight="15.75" customHeight="1"/>
  <cols>
    <col min="1" max="1" width="48.6640625" customWidth="1"/>
    <col min="2" max="2" width="12.88671875" customWidth="1"/>
    <col min="3" max="3" width="30.44140625" customWidth="1"/>
    <col min="4" max="4" width="25.21875" customWidth="1"/>
  </cols>
  <sheetData>
    <row r="1" spans="1:4">
      <c r="A1" s="2" t="s">
        <v>1</v>
      </c>
      <c r="B1" s="2" t="s">
        <v>5</v>
      </c>
      <c r="C1" s="2" t="s">
        <v>8</v>
      </c>
      <c r="D1" s="2" t="s">
        <v>11</v>
      </c>
    </row>
    <row r="2" spans="1:4">
      <c r="A2" s="4" t="s">
        <v>12</v>
      </c>
      <c r="B2" s="4" t="s">
        <v>13</v>
      </c>
      <c r="C2" s="4" t="s">
        <v>14</v>
      </c>
      <c r="D2" s="6" t="s">
        <v>15</v>
      </c>
    </row>
    <row r="3" spans="1:4">
      <c r="A3" s="4" t="s">
        <v>18</v>
      </c>
      <c r="B3" s="4" t="s">
        <v>21</v>
      </c>
      <c r="C3" s="4" t="s">
        <v>24</v>
      </c>
      <c r="D3" s="10" t="s">
        <v>26</v>
      </c>
    </row>
    <row r="4" spans="1:4">
      <c r="A4" s="4" t="s">
        <v>30</v>
      </c>
      <c r="B4" s="4" t="s">
        <v>33</v>
      </c>
      <c r="C4" s="4" t="s">
        <v>35</v>
      </c>
      <c r="D4" s="10" t="s">
        <v>37</v>
      </c>
    </row>
    <row r="5" spans="1:4">
      <c r="A5" s="4" t="s">
        <v>40</v>
      </c>
      <c r="B5" s="4" t="s">
        <v>42</v>
      </c>
      <c r="C5" s="4" t="s">
        <v>45</v>
      </c>
      <c r="D5" s="10" t="s">
        <v>47</v>
      </c>
    </row>
    <row r="6" spans="1:4">
      <c r="A6" s="4" t="s">
        <v>51</v>
      </c>
      <c r="B6" s="4" t="s">
        <v>54</v>
      </c>
      <c r="C6" s="4" t="s">
        <v>56</v>
      </c>
      <c r="D6" s="10" t="s">
        <v>59</v>
      </c>
    </row>
    <row r="7" spans="1:4">
      <c r="A7" s="4" t="s">
        <v>62</v>
      </c>
      <c r="B7" s="4" t="s">
        <v>67</v>
      </c>
      <c r="C7" s="4" t="s">
        <v>68</v>
      </c>
      <c r="D7" s="10" t="s">
        <v>71</v>
      </c>
    </row>
    <row r="8" spans="1:4">
      <c r="A8" s="4" t="s">
        <v>75</v>
      </c>
      <c r="B8" s="4" t="s">
        <v>76</v>
      </c>
      <c r="C8" s="4" t="s">
        <v>81</v>
      </c>
      <c r="D8" s="10" t="s">
        <v>82</v>
      </c>
    </row>
    <row r="9" spans="1:4">
      <c r="A9" s="4" t="s">
        <v>84</v>
      </c>
      <c r="B9" s="4" t="s">
        <v>13</v>
      </c>
      <c r="C9" s="4" t="s">
        <v>86</v>
      </c>
      <c r="D9" s="10" t="s">
        <v>88</v>
      </c>
    </row>
    <row r="10" spans="1:4">
      <c r="A10" s="14" t="s">
        <v>89</v>
      </c>
      <c r="B10" s="14" t="s">
        <v>91</v>
      </c>
      <c r="C10" s="14" t="s">
        <v>93</v>
      </c>
      <c r="D10" s="10" t="s">
        <v>95</v>
      </c>
    </row>
    <row r="11" spans="1:4">
      <c r="A11" s="4" t="s">
        <v>62</v>
      </c>
      <c r="B11" s="14" t="s">
        <v>67</v>
      </c>
      <c r="C11" s="14" t="s">
        <v>105</v>
      </c>
      <c r="D11" s="10" t="s">
        <v>108</v>
      </c>
    </row>
    <row r="12" spans="1:4">
      <c r="A12" s="4" t="s">
        <v>62</v>
      </c>
      <c r="B12" s="14" t="s">
        <v>67</v>
      </c>
      <c r="C12" s="14" t="s">
        <v>115</v>
      </c>
      <c r="D12" s="10" t="s">
        <v>118</v>
      </c>
    </row>
    <row r="13" spans="1:4">
      <c r="A13" s="14" t="s">
        <v>30</v>
      </c>
      <c r="B13" s="14" t="s">
        <v>33</v>
      </c>
      <c r="C13" s="14" t="s">
        <v>125</v>
      </c>
      <c r="D13" s="10" t="s">
        <v>127</v>
      </c>
    </row>
    <row r="14" spans="1:4">
      <c r="A14" s="14" t="s">
        <v>89</v>
      </c>
      <c r="B14" s="14" t="s">
        <v>91</v>
      </c>
      <c r="C14" s="14" t="s">
        <v>140</v>
      </c>
      <c r="D14" s="10" t="s">
        <v>142</v>
      </c>
    </row>
    <row r="15" spans="1:4">
      <c r="A15" s="14" t="s">
        <v>145</v>
      </c>
      <c r="B15" s="14" t="s">
        <v>146</v>
      </c>
      <c r="C15" s="14" t="s">
        <v>147</v>
      </c>
      <c r="D15" s="10" t="s">
        <v>149</v>
      </c>
    </row>
    <row r="16" spans="1:4">
      <c r="A16" s="14" t="s">
        <v>30</v>
      </c>
      <c r="B16" s="14" t="s">
        <v>33</v>
      </c>
      <c r="C16" s="14" t="s">
        <v>154</v>
      </c>
      <c r="D16" s="10" t="s">
        <v>157</v>
      </c>
    </row>
    <row r="17" spans="1:4">
      <c r="A17" s="14" t="s">
        <v>160</v>
      </c>
      <c r="B17" s="14" t="s">
        <v>21</v>
      </c>
      <c r="C17" s="14" t="s">
        <v>163</v>
      </c>
      <c r="D17" s="10" t="s">
        <v>166</v>
      </c>
    </row>
    <row r="18" spans="1:4">
      <c r="A18" s="4" t="s">
        <v>62</v>
      </c>
      <c r="B18" s="4" t="s">
        <v>67</v>
      </c>
      <c r="C18" s="14" t="s">
        <v>168</v>
      </c>
      <c r="D18" s="10" t="s">
        <v>171</v>
      </c>
    </row>
    <row r="19" spans="1:4">
      <c r="A19" s="4" t="s">
        <v>51</v>
      </c>
      <c r="B19" s="4" t="s">
        <v>54</v>
      </c>
      <c r="C19" s="14" t="s">
        <v>178</v>
      </c>
      <c r="D19" s="10" t="s">
        <v>180</v>
      </c>
    </row>
    <row r="20" spans="1:4">
      <c r="A20" s="14" t="s">
        <v>181</v>
      </c>
      <c r="B20" s="14" t="s">
        <v>183</v>
      </c>
      <c r="C20" s="14" t="s">
        <v>184</v>
      </c>
      <c r="D20" s="10" t="s">
        <v>187</v>
      </c>
    </row>
    <row r="21" spans="1:4">
      <c r="A21" s="14" t="s">
        <v>30</v>
      </c>
      <c r="B21" s="14" t="s">
        <v>33</v>
      </c>
      <c r="C21" s="14" t="s">
        <v>191</v>
      </c>
      <c r="D21" s="10" t="s">
        <v>193</v>
      </c>
    </row>
    <row r="22" spans="1:4">
      <c r="A22" s="4" t="s">
        <v>12</v>
      </c>
      <c r="B22" s="35" t="s">
        <v>54</v>
      </c>
      <c r="C22" s="35" t="s">
        <v>196</v>
      </c>
      <c r="D22" s="36" t="s">
        <v>198</v>
      </c>
    </row>
    <row r="23" spans="1:4">
      <c r="A23" s="35" t="s">
        <v>200</v>
      </c>
      <c r="B23" s="35" t="s">
        <v>33</v>
      </c>
      <c r="C23" s="35" t="s">
        <v>204</v>
      </c>
      <c r="D23" s="36" t="s">
        <v>208</v>
      </c>
    </row>
  </sheetData>
  <hyperlinks>
    <hyperlink ref="D2"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50"/>
  <sheetViews>
    <sheetView topLeftCell="A145" workbookViewId="0"/>
  </sheetViews>
  <sheetFormatPr baseColWidth="10" defaultColWidth="12.6640625" defaultRowHeight="15.75" customHeight="1"/>
  <cols>
    <col min="1" max="1" width="8.109375" customWidth="1"/>
    <col min="2" max="2" width="10.21875" customWidth="1"/>
    <col min="3" max="3" width="10.88671875" customWidth="1"/>
    <col min="4" max="4" width="37.33203125" customWidth="1"/>
    <col min="5" max="5" width="9.88671875" customWidth="1"/>
    <col min="6" max="6" width="18.77734375" customWidth="1"/>
    <col min="7" max="7" width="11.109375" customWidth="1"/>
    <col min="8" max="8" width="15" customWidth="1"/>
    <col min="9" max="9" width="16.6640625" customWidth="1"/>
    <col min="10" max="10" width="11.109375" customWidth="1"/>
    <col min="11" max="11" width="9.33203125" customWidth="1"/>
    <col min="12" max="12" width="51.33203125" customWidth="1"/>
    <col min="13" max="13" width="22.109375" customWidth="1"/>
    <col min="14" max="14" width="8.21875" customWidth="1"/>
    <col min="15" max="15" width="37.44140625" customWidth="1"/>
  </cols>
  <sheetData>
    <row r="1" spans="1:15" ht="26.4">
      <c r="A1" s="11" t="s">
        <v>50</v>
      </c>
      <c r="B1" s="11" t="s">
        <v>61</v>
      </c>
      <c r="C1" s="11" t="s">
        <v>65</v>
      </c>
      <c r="D1" s="11" t="s">
        <v>69</v>
      </c>
      <c r="E1" s="12" t="s">
        <v>73</v>
      </c>
      <c r="F1" s="11" t="s">
        <v>79</v>
      </c>
      <c r="G1" s="11" t="s">
        <v>83</v>
      </c>
      <c r="H1" s="11" t="s">
        <v>85</v>
      </c>
      <c r="I1" s="13" t="s">
        <v>87</v>
      </c>
      <c r="J1" s="13" t="s">
        <v>90</v>
      </c>
      <c r="K1" s="13" t="s">
        <v>97</v>
      </c>
      <c r="L1" s="13" t="s">
        <v>101</v>
      </c>
      <c r="M1" s="13" t="s">
        <v>104</v>
      </c>
      <c r="N1" s="11" t="s">
        <v>109</v>
      </c>
      <c r="O1" s="11" t="s">
        <v>112</v>
      </c>
    </row>
    <row r="2" spans="1:15" ht="26.4">
      <c r="A2" s="22" t="s">
        <v>116</v>
      </c>
      <c r="B2" s="22" t="s">
        <v>122</v>
      </c>
      <c r="C2" s="22" t="s">
        <v>124</v>
      </c>
      <c r="D2" s="4" t="s">
        <v>126</v>
      </c>
      <c r="E2" s="23" t="s">
        <v>129</v>
      </c>
      <c r="F2" s="24" t="s">
        <v>117</v>
      </c>
      <c r="G2" s="4" t="s">
        <v>134</v>
      </c>
      <c r="H2" s="4">
        <v>224</v>
      </c>
      <c r="I2" s="4" t="s">
        <v>136</v>
      </c>
      <c r="J2" s="4" t="s">
        <v>137</v>
      </c>
      <c r="K2" s="4">
        <v>2025</v>
      </c>
      <c r="L2" s="4"/>
      <c r="M2" s="4"/>
      <c r="N2" s="4" t="s">
        <v>141</v>
      </c>
      <c r="O2" s="31" t="s">
        <v>143</v>
      </c>
    </row>
    <row r="3" spans="1:15" ht="26.4">
      <c r="A3" s="22" t="s">
        <v>155</v>
      </c>
      <c r="B3" s="22" t="s">
        <v>155</v>
      </c>
      <c r="C3" s="33" t="s">
        <v>159</v>
      </c>
      <c r="D3" s="4" t="s">
        <v>162</v>
      </c>
      <c r="E3" s="23" t="s">
        <v>164</v>
      </c>
      <c r="F3" s="24" t="s">
        <v>133</v>
      </c>
      <c r="G3" s="4" t="s">
        <v>134</v>
      </c>
      <c r="H3" s="4">
        <v>214</v>
      </c>
      <c r="I3" s="4" t="s">
        <v>136</v>
      </c>
      <c r="J3" s="4" t="s">
        <v>137</v>
      </c>
      <c r="K3" s="4">
        <v>2023</v>
      </c>
      <c r="L3" s="4"/>
      <c r="M3" s="4"/>
      <c r="N3" s="4" t="s">
        <v>176</v>
      </c>
      <c r="O3" s="31" t="s">
        <v>177</v>
      </c>
    </row>
    <row r="4" spans="1:15" ht="52.8">
      <c r="A4" s="22" t="s">
        <v>116</v>
      </c>
      <c r="B4" s="22" t="s">
        <v>122</v>
      </c>
      <c r="C4" s="22" t="s">
        <v>124</v>
      </c>
      <c r="D4" s="4" t="s">
        <v>190</v>
      </c>
      <c r="E4" s="23" t="s">
        <v>129</v>
      </c>
      <c r="F4" s="24" t="s">
        <v>128</v>
      </c>
      <c r="G4" s="4" t="s">
        <v>134</v>
      </c>
      <c r="H4" s="4">
        <v>941</v>
      </c>
      <c r="I4" s="4" t="s">
        <v>136</v>
      </c>
      <c r="J4" s="4" t="s">
        <v>137</v>
      </c>
      <c r="K4" s="4">
        <v>2023</v>
      </c>
      <c r="L4" s="4"/>
      <c r="M4" s="4"/>
      <c r="N4" s="4" t="s">
        <v>141</v>
      </c>
      <c r="O4" s="39" t="s">
        <v>206</v>
      </c>
    </row>
    <row r="5" spans="1:15" ht="39.6">
      <c r="A5" s="22" t="s">
        <v>116</v>
      </c>
      <c r="B5" s="22" t="s">
        <v>122</v>
      </c>
      <c r="C5" s="22" t="s">
        <v>124</v>
      </c>
      <c r="D5" s="4" t="s">
        <v>190</v>
      </c>
      <c r="E5" s="23" t="s">
        <v>129</v>
      </c>
      <c r="F5" s="24" t="s">
        <v>114</v>
      </c>
      <c r="G5" s="4" t="s">
        <v>213</v>
      </c>
      <c r="H5" s="4">
        <v>20</v>
      </c>
      <c r="I5" s="4" t="s">
        <v>136</v>
      </c>
      <c r="J5" s="4" t="s">
        <v>214</v>
      </c>
      <c r="K5" s="4">
        <v>2013</v>
      </c>
      <c r="L5" s="4"/>
      <c r="M5" s="4"/>
      <c r="N5" s="4" t="s">
        <v>216</v>
      </c>
      <c r="O5" s="31" t="s">
        <v>217</v>
      </c>
    </row>
    <row r="6" spans="1:15" ht="26.4">
      <c r="A6" s="22" t="s">
        <v>21</v>
      </c>
      <c r="B6" s="41" t="s">
        <v>21</v>
      </c>
      <c r="C6" s="41" t="s">
        <v>21</v>
      </c>
      <c r="D6" s="4" t="s">
        <v>224</v>
      </c>
      <c r="E6" s="23" t="s">
        <v>225</v>
      </c>
      <c r="F6" s="24" t="s">
        <v>114</v>
      </c>
      <c r="G6" s="4" t="s">
        <v>134</v>
      </c>
      <c r="H6" s="4">
        <v>1383</v>
      </c>
      <c r="I6" s="4" t="s">
        <v>136</v>
      </c>
      <c r="J6" s="4" t="s">
        <v>214</v>
      </c>
      <c r="K6" s="4">
        <v>2024</v>
      </c>
      <c r="L6" s="4"/>
      <c r="M6" s="4"/>
      <c r="N6" s="4" t="s">
        <v>141</v>
      </c>
      <c r="O6" s="31" t="s">
        <v>236</v>
      </c>
    </row>
    <row r="7" spans="1:15" ht="26.4">
      <c r="A7" s="22" t="s">
        <v>21</v>
      </c>
      <c r="B7" s="41" t="s">
        <v>21</v>
      </c>
      <c r="C7" s="41" t="s">
        <v>21</v>
      </c>
      <c r="D7" s="4" t="s">
        <v>224</v>
      </c>
      <c r="E7" s="23" t="s">
        <v>225</v>
      </c>
      <c r="F7" s="24" t="s">
        <v>120</v>
      </c>
      <c r="G7" s="4" t="s">
        <v>134</v>
      </c>
      <c r="H7" s="4">
        <v>253</v>
      </c>
      <c r="I7" s="4" t="s">
        <v>136</v>
      </c>
      <c r="J7" s="4" t="s">
        <v>214</v>
      </c>
      <c r="K7" s="4">
        <v>2024</v>
      </c>
      <c r="L7" s="4"/>
      <c r="M7" s="4"/>
      <c r="N7" s="4" t="s">
        <v>141</v>
      </c>
      <c r="O7" s="31" t="s">
        <v>264</v>
      </c>
    </row>
    <row r="8" spans="1:15" ht="26.4">
      <c r="A8" s="22" t="s">
        <v>155</v>
      </c>
      <c r="B8" s="22" t="s">
        <v>155</v>
      </c>
      <c r="C8" s="33" t="s">
        <v>159</v>
      </c>
      <c r="D8" s="4" t="s">
        <v>162</v>
      </c>
      <c r="E8" s="23" t="s">
        <v>164</v>
      </c>
      <c r="F8" s="24" t="s">
        <v>121</v>
      </c>
      <c r="G8" s="4" t="s">
        <v>134</v>
      </c>
      <c r="H8" s="4">
        <v>388</v>
      </c>
      <c r="I8" s="4" t="s">
        <v>136</v>
      </c>
      <c r="J8" s="4" t="s">
        <v>270</v>
      </c>
      <c r="K8" s="4">
        <v>2022</v>
      </c>
      <c r="L8" s="4"/>
      <c r="M8" s="4"/>
      <c r="N8" s="4" t="s">
        <v>176</v>
      </c>
      <c r="O8" s="31" t="s">
        <v>272</v>
      </c>
    </row>
    <row r="9" spans="1:15" ht="26.4">
      <c r="A9" s="22" t="s">
        <v>274</v>
      </c>
      <c r="B9" s="22" t="s">
        <v>275</v>
      </c>
      <c r="C9" s="22" t="s">
        <v>276</v>
      </c>
      <c r="D9" s="4" t="s">
        <v>277</v>
      </c>
      <c r="E9" s="23" t="s">
        <v>279</v>
      </c>
      <c r="F9" s="4" t="s">
        <v>281</v>
      </c>
      <c r="G9" s="4" t="s">
        <v>134</v>
      </c>
      <c r="H9" s="4">
        <v>21</v>
      </c>
      <c r="I9" s="4" t="s">
        <v>136</v>
      </c>
      <c r="J9" s="4" t="s">
        <v>270</v>
      </c>
      <c r="K9" s="4">
        <v>2024</v>
      </c>
      <c r="L9" s="4"/>
      <c r="M9" s="4"/>
      <c r="N9" s="4" t="s">
        <v>176</v>
      </c>
      <c r="O9" s="31" t="s">
        <v>282</v>
      </c>
    </row>
    <row r="10" spans="1:15" ht="28.5" customHeight="1">
      <c r="A10" s="64"/>
      <c r="B10" s="64"/>
      <c r="C10" s="64"/>
      <c r="D10" s="64"/>
      <c r="E10" s="65"/>
      <c r="F10" s="66" t="s">
        <v>130</v>
      </c>
      <c r="G10" s="4"/>
      <c r="H10" s="4"/>
      <c r="I10" s="4"/>
      <c r="J10" s="64"/>
      <c r="K10" s="64"/>
      <c r="L10" s="64"/>
      <c r="M10" s="64"/>
      <c r="N10" s="64"/>
      <c r="O10" s="4"/>
    </row>
    <row r="11" spans="1:15" ht="26.4">
      <c r="A11" s="22" t="s">
        <v>274</v>
      </c>
      <c r="B11" s="22" t="s">
        <v>275</v>
      </c>
      <c r="C11" s="22" t="s">
        <v>276</v>
      </c>
      <c r="D11" s="4" t="s">
        <v>277</v>
      </c>
      <c r="E11" s="23" t="s">
        <v>279</v>
      </c>
      <c r="F11" s="68" t="s">
        <v>131</v>
      </c>
      <c r="G11" s="4" t="s">
        <v>134</v>
      </c>
      <c r="H11" s="4">
        <v>235</v>
      </c>
      <c r="I11" s="4" t="s">
        <v>136</v>
      </c>
      <c r="J11" s="69" t="s">
        <v>214</v>
      </c>
      <c r="K11" s="4">
        <v>2024</v>
      </c>
      <c r="L11" s="4"/>
      <c r="M11" s="4"/>
      <c r="N11" s="4" t="s">
        <v>176</v>
      </c>
      <c r="O11" s="31" t="s">
        <v>288</v>
      </c>
    </row>
    <row r="12" spans="1:15" ht="26.4">
      <c r="A12" s="71" t="s">
        <v>207</v>
      </c>
      <c r="B12" s="71" t="s">
        <v>234</v>
      </c>
      <c r="C12" s="71" t="s">
        <v>209</v>
      </c>
      <c r="D12" s="4" t="s">
        <v>254</v>
      </c>
      <c r="E12" s="23" t="s">
        <v>293</v>
      </c>
      <c r="F12" s="72" t="s">
        <v>132</v>
      </c>
      <c r="G12" s="4" t="s">
        <v>294</v>
      </c>
      <c r="H12" s="4">
        <v>2</v>
      </c>
      <c r="I12" s="4" t="s">
        <v>136</v>
      </c>
      <c r="J12" s="4" t="s">
        <v>214</v>
      </c>
      <c r="K12" s="4">
        <v>202</v>
      </c>
      <c r="L12" s="4"/>
      <c r="M12" s="4"/>
      <c r="N12" s="4" t="s">
        <v>176</v>
      </c>
      <c r="O12" s="31" t="s">
        <v>261</v>
      </c>
    </row>
    <row r="13" spans="1:15" ht="26.4">
      <c r="A13" s="22" t="s">
        <v>274</v>
      </c>
      <c r="B13" s="22" t="s">
        <v>275</v>
      </c>
      <c r="C13" s="22" t="s">
        <v>276</v>
      </c>
      <c r="D13" s="4" t="s">
        <v>277</v>
      </c>
      <c r="E13" s="23" t="s">
        <v>279</v>
      </c>
      <c r="F13" s="72" t="s">
        <v>132</v>
      </c>
      <c r="G13" s="4" t="s">
        <v>294</v>
      </c>
      <c r="H13" s="4">
        <v>180</v>
      </c>
      <c r="I13" s="4" t="s">
        <v>136</v>
      </c>
      <c r="J13" s="4" t="s">
        <v>270</v>
      </c>
      <c r="K13" s="4">
        <v>2024</v>
      </c>
      <c r="L13" s="4"/>
      <c r="M13" s="4"/>
      <c r="N13" s="4" t="s">
        <v>176</v>
      </c>
      <c r="O13" s="39" t="s">
        <v>301</v>
      </c>
    </row>
    <row r="14" spans="1:15" ht="26.4">
      <c r="A14" s="22" t="s">
        <v>116</v>
      </c>
      <c r="B14" s="22" t="s">
        <v>122</v>
      </c>
      <c r="C14" s="22" t="s">
        <v>124</v>
      </c>
      <c r="D14" s="4" t="s">
        <v>126</v>
      </c>
      <c r="E14" s="23" t="s">
        <v>129</v>
      </c>
      <c r="F14" s="24" t="s">
        <v>119</v>
      </c>
      <c r="G14" s="4" t="s">
        <v>134</v>
      </c>
      <c r="H14" s="4">
        <v>192</v>
      </c>
      <c r="I14" s="4" t="s">
        <v>136</v>
      </c>
      <c r="J14" s="4" t="s">
        <v>137</v>
      </c>
      <c r="K14" s="4">
        <v>2023</v>
      </c>
      <c r="L14" s="4"/>
      <c r="M14" s="4"/>
      <c r="N14" s="4" t="s">
        <v>176</v>
      </c>
      <c r="O14" s="31" t="s">
        <v>295</v>
      </c>
    </row>
    <row r="15" spans="1:15" ht="26.4">
      <c r="A15" s="71" t="s">
        <v>116</v>
      </c>
      <c r="B15" s="71" t="s">
        <v>116</v>
      </c>
      <c r="C15" s="71" t="s">
        <v>139</v>
      </c>
      <c r="D15" s="4" t="s">
        <v>138</v>
      </c>
      <c r="E15" s="23" t="s">
        <v>306</v>
      </c>
      <c r="F15" s="24" t="s">
        <v>114</v>
      </c>
      <c r="G15" s="4" t="s">
        <v>134</v>
      </c>
      <c r="H15" s="4">
        <v>1000</v>
      </c>
      <c r="I15" s="4" t="s">
        <v>136</v>
      </c>
      <c r="J15" s="4" t="s">
        <v>309</v>
      </c>
      <c r="K15" s="4">
        <v>2026</v>
      </c>
      <c r="L15" s="4" t="s">
        <v>310</v>
      </c>
      <c r="M15" s="4" t="s">
        <v>312</v>
      </c>
      <c r="N15" s="4"/>
      <c r="O15" s="4"/>
    </row>
    <row r="16" spans="1:15" ht="26.4">
      <c r="A16" s="71" t="s">
        <v>116</v>
      </c>
      <c r="B16" s="71" t="s">
        <v>116</v>
      </c>
      <c r="C16" s="71" t="s">
        <v>139</v>
      </c>
      <c r="D16" s="4" t="s">
        <v>138</v>
      </c>
      <c r="E16" s="23" t="s">
        <v>306</v>
      </c>
      <c r="F16" s="24" t="s">
        <v>121</v>
      </c>
      <c r="G16" s="4" t="s">
        <v>134</v>
      </c>
      <c r="H16" s="4">
        <v>1600</v>
      </c>
      <c r="I16" s="4" t="s">
        <v>136</v>
      </c>
      <c r="J16" s="4" t="s">
        <v>309</v>
      </c>
      <c r="K16" s="4">
        <v>2026</v>
      </c>
      <c r="L16" s="4"/>
      <c r="M16" s="4"/>
      <c r="N16" s="4"/>
      <c r="O16" s="4"/>
    </row>
    <row r="17" spans="1:15" ht="26.4">
      <c r="A17" s="71" t="s">
        <v>116</v>
      </c>
      <c r="B17" s="71" t="s">
        <v>116</v>
      </c>
      <c r="C17" s="71" t="s">
        <v>139</v>
      </c>
      <c r="D17" s="4" t="s">
        <v>138</v>
      </c>
      <c r="E17" s="23" t="s">
        <v>306</v>
      </c>
      <c r="F17" s="24" t="s">
        <v>132</v>
      </c>
      <c r="G17" s="4" t="s">
        <v>134</v>
      </c>
      <c r="H17" s="4">
        <v>1500</v>
      </c>
      <c r="I17" s="4" t="s">
        <v>136</v>
      </c>
      <c r="J17" s="4" t="s">
        <v>309</v>
      </c>
      <c r="K17" s="4">
        <v>2026</v>
      </c>
      <c r="L17" s="4"/>
      <c r="M17" s="4"/>
      <c r="N17" s="4"/>
      <c r="O17" s="4"/>
    </row>
    <row r="18" spans="1:15" ht="39.6">
      <c r="A18" s="4" t="s">
        <v>54</v>
      </c>
      <c r="B18" s="4" t="s">
        <v>54</v>
      </c>
      <c r="C18" s="4" t="s">
        <v>316</v>
      </c>
      <c r="D18" s="4" t="s">
        <v>153</v>
      </c>
      <c r="E18" s="23" t="s">
        <v>319</v>
      </c>
      <c r="F18" s="24" t="s">
        <v>117</v>
      </c>
      <c r="G18" s="4" t="s">
        <v>134</v>
      </c>
      <c r="H18" s="4">
        <v>216</v>
      </c>
      <c r="I18" s="4" t="s">
        <v>321</v>
      </c>
      <c r="J18" s="4" t="s">
        <v>137</v>
      </c>
      <c r="K18" s="4">
        <v>2026</v>
      </c>
      <c r="L18" s="55" t="s">
        <v>322</v>
      </c>
      <c r="M18" s="4" t="s">
        <v>312</v>
      </c>
      <c r="N18" s="4"/>
      <c r="O18" s="4"/>
    </row>
    <row r="19" spans="1:15" ht="26.4">
      <c r="A19" s="4" t="s">
        <v>54</v>
      </c>
      <c r="B19" s="4" t="s">
        <v>54</v>
      </c>
      <c r="C19" s="4" t="s">
        <v>316</v>
      </c>
      <c r="D19" s="4" t="s">
        <v>153</v>
      </c>
      <c r="E19" s="23" t="s">
        <v>319</v>
      </c>
      <c r="F19" s="24" t="s">
        <v>119</v>
      </c>
      <c r="G19" s="4" t="s">
        <v>134</v>
      </c>
      <c r="H19" s="4">
        <v>548</v>
      </c>
      <c r="I19" s="4" t="s">
        <v>321</v>
      </c>
      <c r="J19" s="4" t="s">
        <v>137</v>
      </c>
      <c r="K19" s="4">
        <v>2026</v>
      </c>
      <c r="L19" s="4"/>
      <c r="M19" s="4"/>
      <c r="N19" s="4"/>
      <c r="O19" s="4"/>
    </row>
    <row r="20" spans="1:15" ht="13.2">
      <c r="A20" s="4" t="s">
        <v>54</v>
      </c>
      <c r="B20" s="4" t="s">
        <v>54</v>
      </c>
      <c r="C20" s="4" t="s">
        <v>316</v>
      </c>
      <c r="D20" s="4" t="s">
        <v>153</v>
      </c>
      <c r="E20" s="23" t="s">
        <v>319</v>
      </c>
      <c r="F20" s="24" t="s">
        <v>123</v>
      </c>
      <c r="G20" s="4" t="s">
        <v>134</v>
      </c>
      <c r="H20" s="4">
        <v>157</v>
      </c>
      <c r="I20" s="65"/>
      <c r="J20" s="4" t="s">
        <v>309</v>
      </c>
      <c r="K20" s="4">
        <v>2026</v>
      </c>
      <c r="L20" s="4"/>
      <c r="M20" s="4"/>
      <c r="N20" s="4"/>
      <c r="O20" s="4"/>
    </row>
    <row r="21" spans="1:15" ht="26.4">
      <c r="A21" s="4" t="s">
        <v>54</v>
      </c>
      <c r="B21" s="4" t="s">
        <v>54</v>
      </c>
      <c r="C21" s="4" t="s">
        <v>316</v>
      </c>
      <c r="D21" s="4" t="s">
        <v>153</v>
      </c>
      <c r="E21" s="23" t="s">
        <v>319</v>
      </c>
      <c r="F21" s="24" t="s">
        <v>128</v>
      </c>
      <c r="G21" s="4" t="s">
        <v>134</v>
      </c>
      <c r="H21" s="4">
        <v>881</v>
      </c>
      <c r="I21" s="23" t="s">
        <v>321</v>
      </c>
      <c r="J21" s="4" t="s">
        <v>137</v>
      </c>
      <c r="K21" s="4">
        <v>2026</v>
      </c>
      <c r="L21" s="4"/>
      <c r="M21" s="4"/>
      <c r="N21" s="4"/>
      <c r="O21" s="4"/>
    </row>
    <row r="22" spans="1:15" ht="26.4">
      <c r="A22" s="4" t="s">
        <v>54</v>
      </c>
      <c r="B22" s="4" t="s">
        <v>54</v>
      </c>
      <c r="C22" s="4" t="s">
        <v>316</v>
      </c>
      <c r="D22" s="4" t="s">
        <v>153</v>
      </c>
      <c r="E22" s="23" t="s">
        <v>319</v>
      </c>
      <c r="F22" s="24" t="s">
        <v>131</v>
      </c>
      <c r="G22" s="4" t="s">
        <v>134</v>
      </c>
      <c r="H22" s="4">
        <v>42</v>
      </c>
      <c r="I22" s="4" t="s">
        <v>321</v>
      </c>
      <c r="J22" s="4" t="s">
        <v>137</v>
      </c>
      <c r="K22" s="4">
        <v>2026</v>
      </c>
      <c r="L22" s="4"/>
      <c r="M22" s="4"/>
      <c r="N22" s="4"/>
      <c r="O22" s="4"/>
    </row>
    <row r="23" spans="1:15" ht="39.6">
      <c r="A23" s="4" t="s">
        <v>54</v>
      </c>
      <c r="B23" s="4" t="s">
        <v>54</v>
      </c>
      <c r="C23" s="4" t="s">
        <v>316</v>
      </c>
      <c r="D23" s="4" t="s">
        <v>153</v>
      </c>
      <c r="E23" s="23" t="s">
        <v>319</v>
      </c>
      <c r="F23" s="24" t="s">
        <v>133</v>
      </c>
      <c r="G23" s="4" t="s">
        <v>134</v>
      </c>
      <c r="H23" s="4">
        <v>58</v>
      </c>
      <c r="I23" s="4" t="s">
        <v>328</v>
      </c>
      <c r="J23" s="4" t="s">
        <v>137</v>
      </c>
      <c r="K23" s="4">
        <v>2026</v>
      </c>
      <c r="L23" s="4"/>
      <c r="M23" s="4"/>
      <c r="N23" s="4"/>
      <c r="O23" s="4"/>
    </row>
    <row r="24" spans="1:15" ht="26.4">
      <c r="A24" s="71" t="s">
        <v>173</v>
      </c>
      <c r="B24" s="71" t="s">
        <v>175</v>
      </c>
      <c r="C24" s="71" t="s">
        <v>173</v>
      </c>
      <c r="D24" s="4" t="s">
        <v>172</v>
      </c>
      <c r="E24" s="23" t="s">
        <v>329</v>
      </c>
      <c r="F24" s="24" t="s">
        <v>114</v>
      </c>
      <c r="G24" s="4" t="s">
        <v>134</v>
      </c>
      <c r="H24" s="4">
        <v>250</v>
      </c>
      <c r="I24" s="4" t="s">
        <v>321</v>
      </c>
      <c r="J24" s="4" t="s">
        <v>309</v>
      </c>
      <c r="K24" s="4">
        <v>2026</v>
      </c>
      <c r="L24" s="55" t="s">
        <v>330</v>
      </c>
      <c r="M24" s="59" t="s">
        <v>331</v>
      </c>
      <c r="N24" s="4"/>
      <c r="O24" s="4"/>
    </row>
    <row r="25" spans="1:15" ht="26.4">
      <c r="A25" s="71" t="s">
        <v>173</v>
      </c>
      <c r="B25" s="71" t="s">
        <v>175</v>
      </c>
      <c r="C25" s="71" t="s">
        <v>173</v>
      </c>
      <c r="D25" s="4" t="s">
        <v>172</v>
      </c>
      <c r="E25" s="23" t="s">
        <v>329</v>
      </c>
      <c r="F25" s="24" t="s">
        <v>120</v>
      </c>
      <c r="G25" s="4" t="s">
        <v>134</v>
      </c>
      <c r="H25" s="4">
        <v>10</v>
      </c>
      <c r="I25" s="64"/>
      <c r="J25" s="4" t="s">
        <v>309</v>
      </c>
      <c r="K25" s="4">
        <v>2026</v>
      </c>
      <c r="L25" s="4"/>
      <c r="M25" s="4"/>
      <c r="N25" s="4"/>
      <c r="O25" s="4"/>
    </row>
    <row r="26" spans="1:15" ht="26.4">
      <c r="A26" s="71" t="s">
        <v>173</v>
      </c>
      <c r="B26" s="71" t="s">
        <v>175</v>
      </c>
      <c r="C26" s="71" t="s">
        <v>173</v>
      </c>
      <c r="D26" s="4" t="s">
        <v>172</v>
      </c>
      <c r="E26" s="23" t="s">
        <v>329</v>
      </c>
      <c r="F26" s="24" t="s">
        <v>132</v>
      </c>
      <c r="G26" s="4" t="s">
        <v>134</v>
      </c>
      <c r="H26" s="4">
        <v>10</v>
      </c>
      <c r="I26" s="64"/>
      <c r="J26" s="4" t="s">
        <v>309</v>
      </c>
      <c r="K26" s="4">
        <v>2026</v>
      </c>
      <c r="L26" s="4"/>
      <c r="M26" s="4"/>
      <c r="N26" s="4"/>
      <c r="O26" s="4"/>
    </row>
    <row r="27" spans="1:15" ht="39.6">
      <c r="A27" s="71" t="s">
        <v>21</v>
      </c>
      <c r="B27" s="71" t="s">
        <v>21</v>
      </c>
      <c r="C27" s="71" t="s">
        <v>21</v>
      </c>
      <c r="D27" s="71" t="s">
        <v>160</v>
      </c>
      <c r="E27" s="23" t="s">
        <v>332</v>
      </c>
      <c r="F27" s="24" t="s">
        <v>114</v>
      </c>
      <c r="G27" s="4" t="s">
        <v>134</v>
      </c>
      <c r="H27" s="4">
        <v>850</v>
      </c>
      <c r="I27" s="4" t="s">
        <v>333</v>
      </c>
      <c r="J27" s="4" t="s">
        <v>334</v>
      </c>
      <c r="K27" s="4">
        <v>2026</v>
      </c>
      <c r="L27" s="4" t="s">
        <v>335</v>
      </c>
      <c r="M27" s="4" t="s">
        <v>336</v>
      </c>
      <c r="N27" s="4"/>
      <c r="O27" s="4"/>
    </row>
    <row r="28" spans="1:15" ht="26.4">
      <c r="A28" s="71" t="s">
        <v>21</v>
      </c>
      <c r="B28" s="71" t="s">
        <v>21</v>
      </c>
      <c r="C28" s="71" t="s">
        <v>21</v>
      </c>
      <c r="D28" s="71" t="s">
        <v>160</v>
      </c>
      <c r="E28" s="23" t="s">
        <v>332</v>
      </c>
      <c r="F28" s="24" t="s">
        <v>117</v>
      </c>
      <c r="G28" s="4" t="s">
        <v>134</v>
      </c>
      <c r="H28" s="4">
        <v>60</v>
      </c>
      <c r="I28" s="4" t="s">
        <v>337</v>
      </c>
      <c r="J28" s="4" t="s">
        <v>214</v>
      </c>
      <c r="K28" s="4">
        <v>2026</v>
      </c>
      <c r="L28" s="4"/>
      <c r="M28" s="4"/>
      <c r="N28" s="4"/>
      <c r="O28" s="4"/>
    </row>
    <row r="29" spans="1:15" ht="13.2">
      <c r="A29" s="71" t="s">
        <v>21</v>
      </c>
      <c r="B29" s="71" t="s">
        <v>21</v>
      </c>
      <c r="C29" s="71" t="s">
        <v>21</v>
      </c>
      <c r="D29" s="71" t="s">
        <v>160</v>
      </c>
      <c r="E29" s="23" t="s">
        <v>332</v>
      </c>
      <c r="F29" s="24" t="s">
        <v>119</v>
      </c>
      <c r="G29" s="4" t="s">
        <v>134</v>
      </c>
      <c r="H29" s="4">
        <v>48</v>
      </c>
      <c r="I29" s="4" t="s">
        <v>337</v>
      </c>
      <c r="J29" s="4" t="s">
        <v>214</v>
      </c>
      <c r="K29" s="4">
        <v>2026</v>
      </c>
      <c r="L29" s="4"/>
      <c r="M29" s="4"/>
      <c r="N29" s="4"/>
      <c r="O29" s="4"/>
    </row>
    <row r="30" spans="1:15" ht="26.4">
      <c r="A30" s="71" t="s">
        <v>21</v>
      </c>
      <c r="B30" s="71" t="s">
        <v>21</v>
      </c>
      <c r="C30" s="71" t="s">
        <v>21</v>
      </c>
      <c r="D30" s="71" t="s">
        <v>160</v>
      </c>
      <c r="E30" s="23" t="s">
        <v>332</v>
      </c>
      <c r="F30" s="24" t="s">
        <v>120</v>
      </c>
      <c r="G30" s="4" t="s">
        <v>134</v>
      </c>
      <c r="H30" s="4">
        <v>350</v>
      </c>
      <c r="I30" s="4" t="s">
        <v>333</v>
      </c>
      <c r="J30" s="4" t="s">
        <v>334</v>
      </c>
      <c r="K30" s="4">
        <v>2026</v>
      </c>
      <c r="L30" s="4"/>
      <c r="M30" s="4"/>
      <c r="N30" s="4"/>
      <c r="O30" s="4"/>
    </row>
    <row r="31" spans="1:15" ht="26.4">
      <c r="A31" s="71" t="s">
        <v>21</v>
      </c>
      <c r="B31" s="71" t="s">
        <v>21</v>
      </c>
      <c r="C31" s="71" t="s">
        <v>21</v>
      </c>
      <c r="D31" s="71" t="s">
        <v>160</v>
      </c>
      <c r="E31" s="23" t="s">
        <v>332</v>
      </c>
      <c r="F31" s="24" t="s">
        <v>121</v>
      </c>
      <c r="G31" s="4" t="s">
        <v>134</v>
      </c>
      <c r="H31" s="4">
        <v>10</v>
      </c>
      <c r="I31" s="64"/>
      <c r="J31" s="4" t="s">
        <v>334</v>
      </c>
      <c r="K31" s="4">
        <v>2026</v>
      </c>
      <c r="L31" s="4"/>
      <c r="M31" s="4"/>
      <c r="N31" s="4"/>
      <c r="O31" s="4"/>
    </row>
    <row r="32" spans="1:15" ht="13.2">
      <c r="A32" s="71" t="s">
        <v>21</v>
      </c>
      <c r="B32" s="71" t="s">
        <v>21</v>
      </c>
      <c r="C32" s="71" t="s">
        <v>21</v>
      </c>
      <c r="D32" s="71" t="s">
        <v>160</v>
      </c>
      <c r="E32" s="23" t="s">
        <v>332</v>
      </c>
      <c r="F32" s="24" t="s">
        <v>128</v>
      </c>
      <c r="G32" s="4" t="s">
        <v>134</v>
      </c>
      <c r="H32" s="4">
        <v>120</v>
      </c>
      <c r="I32" s="4" t="s">
        <v>337</v>
      </c>
      <c r="J32" s="4" t="s">
        <v>214</v>
      </c>
      <c r="K32" s="4">
        <v>2026</v>
      </c>
      <c r="L32" s="4"/>
      <c r="M32" s="4"/>
      <c r="N32" s="4"/>
      <c r="O32" s="4"/>
    </row>
    <row r="33" spans="1:15" ht="26.4">
      <c r="A33" s="71" t="s">
        <v>21</v>
      </c>
      <c r="B33" s="71" t="s">
        <v>21</v>
      </c>
      <c r="C33" s="71" t="s">
        <v>21</v>
      </c>
      <c r="D33" s="71" t="s">
        <v>160</v>
      </c>
      <c r="E33" s="23" t="s">
        <v>332</v>
      </c>
      <c r="F33" s="24" t="s">
        <v>132</v>
      </c>
      <c r="G33" s="4" t="s">
        <v>134</v>
      </c>
      <c r="H33" s="4">
        <v>450</v>
      </c>
      <c r="I33" s="4" t="s">
        <v>333</v>
      </c>
      <c r="J33" s="4" t="s">
        <v>334</v>
      </c>
      <c r="K33" s="4">
        <v>2026</v>
      </c>
      <c r="L33" s="4"/>
      <c r="M33" s="4"/>
      <c r="N33" s="4"/>
      <c r="O33" s="4"/>
    </row>
    <row r="34" spans="1:15" ht="26.4">
      <c r="A34" s="71" t="s">
        <v>21</v>
      </c>
      <c r="B34" s="71" t="s">
        <v>21</v>
      </c>
      <c r="C34" s="71" t="s">
        <v>21</v>
      </c>
      <c r="D34" s="71" t="s">
        <v>160</v>
      </c>
      <c r="E34" s="23" t="s">
        <v>332</v>
      </c>
      <c r="F34" s="24" t="s">
        <v>133</v>
      </c>
      <c r="G34" s="4" t="s">
        <v>134</v>
      </c>
      <c r="H34" s="4">
        <v>5</v>
      </c>
      <c r="I34" s="64"/>
      <c r="J34" s="4" t="s">
        <v>214</v>
      </c>
      <c r="K34" s="4">
        <v>2026</v>
      </c>
      <c r="L34" s="4"/>
      <c r="M34" s="4"/>
      <c r="N34" s="4"/>
      <c r="O34" s="4"/>
    </row>
    <row r="35" spans="1:15" ht="13.2">
      <c r="A35" s="71" t="s">
        <v>207</v>
      </c>
      <c r="B35" s="71" t="s">
        <v>209</v>
      </c>
      <c r="C35" s="71" t="s">
        <v>209</v>
      </c>
      <c r="D35" s="80" t="s">
        <v>205</v>
      </c>
      <c r="E35" s="23" t="s">
        <v>338</v>
      </c>
      <c r="F35" s="24" t="s">
        <v>114</v>
      </c>
      <c r="G35" s="4" t="s">
        <v>134</v>
      </c>
      <c r="H35" s="4">
        <v>150</v>
      </c>
      <c r="I35" s="64"/>
      <c r="J35" s="4" t="s">
        <v>309</v>
      </c>
      <c r="K35" s="4">
        <v>2026</v>
      </c>
      <c r="L35" s="4" t="s">
        <v>339</v>
      </c>
      <c r="M35" s="59" t="s">
        <v>331</v>
      </c>
      <c r="N35" s="4"/>
      <c r="O35" s="4"/>
    </row>
    <row r="36" spans="1:15" ht="26.4">
      <c r="A36" s="71" t="s">
        <v>207</v>
      </c>
      <c r="B36" s="71" t="s">
        <v>209</v>
      </c>
      <c r="C36" s="71" t="s">
        <v>209</v>
      </c>
      <c r="D36" s="80" t="s">
        <v>205</v>
      </c>
      <c r="E36" s="23" t="s">
        <v>338</v>
      </c>
      <c r="F36" s="24" t="s">
        <v>117</v>
      </c>
      <c r="G36" s="4" t="s">
        <v>134</v>
      </c>
      <c r="H36" s="4">
        <v>10</v>
      </c>
      <c r="I36" s="4" t="s">
        <v>333</v>
      </c>
      <c r="J36" s="4" t="s">
        <v>309</v>
      </c>
      <c r="K36" s="4">
        <v>2026</v>
      </c>
      <c r="L36" s="4"/>
      <c r="M36" s="4"/>
      <c r="N36" s="4"/>
      <c r="O36" s="4"/>
    </row>
    <row r="37" spans="1:15" ht="26.4">
      <c r="A37" s="71" t="s">
        <v>207</v>
      </c>
      <c r="B37" s="71" t="s">
        <v>209</v>
      </c>
      <c r="C37" s="71" t="s">
        <v>209</v>
      </c>
      <c r="D37" s="80" t="s">
        <v>205</v>
      </c>
      <c r="E37" s="23" t="s">
        <v>338</v>
      </c>
      <c r="F37" s="24" t="s">
        <v>119</v>
      </c>
      <c r="G37" s="4" t="s">
        <v>134</v>
      </c>
      <c r="H37" s="4">
        <v>10</v>
      </c>
      <c r="I37" s="4" t="s">
        <v>333</v>
      </c>
      <c r="J37" s="4" t="s">
        <v>309</v>
      </c>
      <c r="K37" s="4">
        <v>2026</v>
      </c>
      <c r="L37" s="4"/>
      <c r="M37" s="4"/>
      <c r="N37" s="4"/>
      <c r="O37" s="4"/>
    </row>
    <row r="38" spans="1:15" ht="13.2">
      <c r="A38" s="71" t="s">
        <v>207</v>
      </c>
      <c r="B38" s="71" t="s">
        <v>209</v>
      </c>
      <c r="C38" s="71" t="s">
        <v>209</v>
      </c>
      <c r="D38" s="80" t="s">
        <v>205</v>
      </c>
      <c r="E38" s="23" t="s">
        <v>338</v>
      </c>
      <c r="F38" s="24" t="s">
        <v>121</v>
      </c>
      <c r="G38" s="4" t="s">
        <v>134</v>
      </c>
      <c r="H38" s="4">
        <v>5</v>
      </c>
      <c r="I38" s="23" t="s">
        <v>337</v>
      </c>
      <c r="J38" s="4" t="s">
        <v>309</v>
      </c>
      <c r="K38" s="4">
        <v>2026</v>
      </c>
      <c r="L38" s="4"/>
      <c r="M38" s="4"/>
      <c r="N38" s="4"/>
      <c r="O38" s="4"/>
    </row>
    <row r="39" spans="1:15" ht="26.4">
      <c r="A39" s="71" t="s">
        <v>207</v>
      </c>
      <c r="B39" s="71" t="s">
        <v>209</v>
      </c>
      <c r="C39" s="71" t="s">
        <v>209</v>
      </c>
      <c r="D39" s="80" t="s">
        <v>205</v>
      </c>
      <c r="E39" s="23" t="s">
        <v>338</v>
      </c>
      <c r="F39" s="24" t="s">
        <v>128</v>
      </c>
      <c r="G39" s="4" t="s">
        <v>134</v>
      </c>
      <c r="H39" s="4">
        <v>10</v>
      </c>
      <c r="I39" s="4" t="s">
        <v>333</v>
      </c>
      <c r="J39" s="4" t="s">
        <v>309</v>
      </c>
      <c r="K39" s="4">
        <v>2026</v>
      </c>
      <c r="L39" s="4"/>
      <c r="M39" s="4"/>
      <c r="N39" s="4"/>
      <c r="O39" s="4"/>
    </row>
    <row r="40" spans="1:15" ht="26.4">
      <c r="A40" s="71" t="s">
        <v>116</v>
      </c>
      <c r="B40" s="71" t="s">
        <v>116</v>
      </c>
      <c r="C40" s="71" t="s">
        <v>139</v>
      </c>
      <c r="D40" s="80" t="s">
        <v>138</v>
      </c>
      <c r="E40" s="23" t="s">
        <v>306</v>
      </c>
      <c r="F40" s="24" t="s">
        <v>114</v>
      </c>
      <c r="G40" s="4" t="s">
        <v>134</v>
      </c>
      <c r="H40" s="4">
        <v>520</v>
      </c>
      <c r="I40" s="23" t="s">
        <v>337</v>
      </c>
      <c r="J40" s="4" t="s">
        <v>334</v>
      </c>
      <c r="K40" s="4">
        <v>2026</v>
      </c>
      <c r="L40" s="4" t="s">
        <v>340</v>
      </c>
      <c r="M40" s="59" t="s">
        <v>331</v>
      </c>
      <c r="N40" s="4"/>
      <c r="O40" s="4"/>
    </row>
    <row r="41" spans="1:15" ht="26.4">
      <c r="A41" s="71" t="s">
        <v>116</v>
      </c>
      <c r="B41" s="71" t="s">
        <v>116</v>
      </c>
      <c r="C41" s="71" t="s">
        <v>139</v>
      </c>
      <c r="D41" s="80" t="s">
        <v>138</v>
      </c>
      <c r="E41" s="23" t="s">
        <v>306</v>
      </c>
      <c r="F41" s="24" t="s">
        <v>121</v>
      </c>
      <c r="G41" s="4" t="s">
        <v>134</v>
      </c>
      <c r="H41" s="4">
        <v>1600</v>
      </c>
      <c r="I41" s="23" t="s">
        <v>337</v>
      </c>
      <c r="J41" s="4" t="s">
        <v>334</v>
      </c>
      <c r="K41" s="4">
        <v>2026</v>
      </c>
      <c r="L41" s="4"/>
      <c r="M41" s="4"/>
      <c r="N41" s="4"/>
      <c r="O41" s="4"/>
    </row>
    <row r="42" spans="1:15" ht="26.4">
      <c r="A42" s="71" t="s">
        <v>116</v>
      </c>
      <c r="B42" s="71" t="s">
        <v>116</v>
      </c>
      <c r="C42" s="71" t="s">
        <v>139</v>
      </c>
      <c r="D42" s="80" t="s">
        <v>138</v>
      </c>
      <c r="E42" s="23" t="s">
        <v>306</v>
      </c>
      <c r="F42" s="24" t="s">
        <v>132</v>
      </c>
      <c r="G42" s="4" t="s">
        <v>134</v>
      </c>
      <c r="H42" s="4">
        <v>1200</v>
      </c>
      <c r="I42" s="23" t="s">
        <v>337</v>
      </c>
      <c r="J42" s="4" t="s">
        <v>334</v>
      </c>
      <c r="K42" s="4">
        <v>2026</v>
      </c>
      <c r="L42" s="4"/>
      <c r="M42" s="4"/>
      <c r="N42" s="4"/>
      <c r="O42" s="4"/>
    </row>
    <row r="43" spans="1:15" ht="26.4">
      <c r="A43" s="71" t="s">
        <v>116</v>
      </c>
      <c r="B43" s="71" t="s">
        <v>116</v>
      </c>
      <c r="C43" s="71" t="s">
        <v>139</v>
      </c>
      <c r="D43" s="80" t="s">
        <v>138</v>
      </c>
      <c r="E43" s="23" t="s">
        <v>306</v>
      </c>
      <c r="F43" s="24" t="s">
        <v>117</v>
      </c>
      <c r="G43" s="4" t="s">
        <v>134</v>
      </c>
      <c r="H43" s="4">
        <v>100</v>
      </c>
      <c r="I43" s="4" t="s">
        <v>337</v>
      </c>
      <c r="J43" s="4" t="s">
        <v>214</v>
      </c>
      <c r="K43" s="4">
        <v>2026</v>
      </c>
      <c r="L43" s="4"/>
      <c r="M43" s="4"/>
      <c r="N43" s="4"/>
      <c r="O43" s="4"/>
    </row>
    <row r="44" spans="1:15" ht="13.2">
      <c r="A44" s="71" t="s">
        <v>116</v>
      </c>
      <c r="B44" s="71" t="s">
        <v>116</v>
      </c>
      <c r="C44" s="71" t="s">
        <v>139</v>
      </c>
      <c r="D44" s="80" t="s">
        <v>138</v>
      </c>
      <c r="E44" s="23" t="s">
        <v>306</v>
      </c>
      <c r="F44" s="24" t="s">
        <v>119</v>
      </c>
      <c r="G44" s="4" t="s">
        <v>134</v>
      </c>
      <c r="H44" s="4">
        <v>200</v>
      </c>
      <c r="I44" s="4" t="s">
        <v>337</v>
      </c>
      <c r="J44" s="4" t="s">
        <v>214</v>
      </c>
      <c r="K44" s="4">
        <v>2026</v>
      </c>
      <c r="L44" s="4" t="s">
        <v>341</v>
      </c>
      <c r="M44" s="4" t="s">
        <v>312</v>
      </c>
      <c r="N44" s="4"/>
      <c r="O44" s="4"/>
    </row>
    <row r="45" spans="1:15" ht="13.2">
      <c r="A45" s="71" t="s">
        <v>116</v>
      </c>
      <c r="B45" s="71" t="s">
        <v>116</v>
      </c>
      <c r="C45" s="71" t="s">
        <v>139</v>
      </c>
      <c r="D45" s="80" t="s">
        <v>138</v>
      </c>
      <c r="E45" s="23" t="s">
        <v>306</v>
      </c>
      <c r="F45" s="24" t="s">
        <v>128</v>
      </c>
      <c r="G45" s="4" t="s">
        <v>134</v>
      </c>
      <c r="H45" s="4">
        <v>200</v>
      </c>
      <c r="I45" s="4" t="s">
        <v>337</v>
      </c>
      <c r="J45" s="4" t="s">
        <v>214</v>
      </c>
      <c r="K45" s="4">
        <v>2026</v>
      </c>
      <c r="L45" s="4"/>
      <c r="M45" s="4"/>
      <c r="N45" s="4"/>
      <c r="O45" s="4"/>
    </row>
    <row r="46" spans="1:15" ht="26.4">
      <c r="A46" s="71" t="s">
        <v>116</v>
      </c>
      <c r="B46" s="71" t="s">
        <v>116</v>
      </c>
      <c r="C46" s="71" t="s">
        <v>139</v>
      </c>
      <c r="D46" s="80" t="s">
        <v>138</v>
      </c>
      <c r="E46" s="23" t="s">
        <v>306</v>
      </c>
      <c r="F46" s="24" t="s">
        <v>131</v>
      </c>
      <c r="G46" s="4" t="s">
        <v>134</v>
      </c>
      <c r="H46" s="4">
        <v>7</v>
      </c>
      <c r="I46" s="4" t="s">
        <v>337</v>
      </c>
      <c r="J46" s="4" t="s">
        <v>214</v>
      </c>
      <c r="K46" s="4">
        <v>2026</v>
      </c>
      <c r="L46" s="4"/>
      <c r="M46" s="4"/>
      <c r="N46" s="4"/>
      <c r="O46" s="4"/>
    </row>
    <row r="47" spans="1:15" ht="26.4">
      <c r="A47" s="71" t="s">
        <v>116</v>
      </c>
      <c r="B47" s="71" t="s">
        <v>116</v>
      </c>
      <c r="C47" s="71" t="s">
        <v>139</v>
      </c>
      <c r="D47" s="80" t="s">
        <v>138</v>
      </c>
      <c r="E47" s="23" t="s">
        <v>306</v>
      </c>
      <c r="F47" s="24" t="s">
        <v>133</v>
      </c>
      <c r="G47" s="4" t="s">
        <v>134</v>
      </c>
      <c r="H47" s="4">
        <v>41</v>
      </c>
      <c r="I47" s="4" t="s">
        <v>337</v>
      </c>
      <c r="J47" s="4" t="s">
        <v>214</v>
      </c>
      <c r="K47" s="4">
        <v>2026</v>
      </c>
      <c r="L47" s="4"/>
      <c r="M47" s="4"/>
      <c r="N47" s="4"/>
      <c r="O47" s="4"/>
    </row>
    <row r="48" spans="1:15" ht="26.4">
      <c r="A48" s="71" t="s">
        <v>207</v>
      </c>
      <c r="B48" s="71" t="s">
        <v>209</v>
      </c>
      <c r="C48" s="71" t="s">
        <v>209</v>
      </c>
      <c r="D48" s="80" t="s">
        <v>205</v>
      </c>
      <c r="E48" s="23" t="s">
        <v>338</v>
      </c>
      <c r="F48" s="24" t="s">
        <v>114</v>
      </c>
      <c r="G48" s="4" t="s">
        <v>134</v>
      </c>
      <c r="H48" s="4">
        <v>161</v>
      </c>
      <c r="I48" s="4" t="s">
        <v>321</v>
      </c>
      <c r="J48" s="4" t="s">
        <v>334</v>
      </c>
      <c r="K48" s="4">
        <v>2026</v>
      </c>
      <c r="L48" s="55" t="s">
        <v>342</v>
      </c>
      <c r="M48" s="4" t="s">
        <v>312</v>
      </c>
      <c r="N48" s="4"/>
      <c r="O48" s="4"/>
    </row>
    <row r="49" spans="1:15" ht="66">
      <c r="A49" s="71" t="s">
        <v>252</v>
      </c>
      <c r="B49" s="71" t="s">
        <v>252</v>
      </c>
      <c r="C49" s="71" t="s">
        <v>252</v>
      </c>
      <c r="D49" s="23" t="s">
        <v>89</v>
      </c>
      <c r="E49" s="23" t="s">
        <v>343</v>
      </c>
      <c r="F49" s="24" t="s">
        <v>114</v>
      </c>
      <c r="G49" s="4" t="s">
        <v>134</v>
      </c>
      <c r="H49" s="4">
        <v>10</v>
      </c>
      <c r="I49" s="4" t="s">
        <v>321</v>
      </c>
      <c r="J49" s="4" t="s">
        <v>344</v>
      </c>
      <c r="K49" s="4">
        <v>2026</v>
      </c>
      <c r="L49" s="4" t="s">
        <v>345</v>
      </c>
      <c r="M49" s="59" t="s">
        <v>331</v>
      </c>
      <c r="N49" s="4"/>
      <c r="O49" s="4"/>
    </row>
    <row r="50" spans="1:15" ht="13.2">
      <c r="A50" s="71" t="s">
        <v>252</v>
      </c>
      <c r="B50" s="71" t="s">
        <v>252</v>
      </c>
      <c r="C50" s="71" t="s">
        <v>252</v>
      </c>
      <c r="D50" s="23" t="s">
        <v>89</v>
      </c>
      <c r="E50" s="23" t="s">
        <v>343</v>
      </c>
      <c r="F50" s="24" t="s">
        <v>132</v>
      </c>
      <c r="G50" s="4" t="s">
        <v>134</v>
      </c>
      <c r="H50" s="4">
        <v>2</v>
      </c>
      <c r="I50" s="23" t="s">
        <v>337</v>
      </c>
      <c r="J50" s="4" t="s">
        <v>309</v>
      </c>
      <c r="K50" s="4">
        <v>2026</v>
      </c>
      <c r="L50" s="4"/>
      <c r="M50" s="4"/>
      <c r="N50" s="4"/>
      <c r="O50" s="4"/>
    </row>
  </sheetData>
  <hyperlinks>
    <hyperlink ref="O2" r:id="rId1" xr:uid="{00000000-0004-0000-0300-000000000000}"/>
    <hyperlink ref="O3" r:id="rId2" xr:uid="{00000000-0004-0000-0300-000001000000}"/>
    <hyperlink ref="O4" r:id="rId3" xr:uid="{00000000-0004-0000-0300-000002000000}"/>
    <hyperlink ref="O5" r:id="rId4" xr:uid="{00000000-0004-0000-0300-000003000000}"/>
    <hyperlink ref="O6" r:id="rId5" xr:uid="{00000000-0004-0000-0300-000004000000}"/>
    <hyperlink ref="O7" r:id="rId6" xr:uid="{00000000-0004-0000-0300-000005000000}"/>
    <hyperlink ref="O8" r:id="rId7" xr:uid="{00000000-0004-0000-0300-000006000000}"/>
    <hyperlink ref="O9" r:id="rId8" xr:uid="{00000000-0004-0000-0300-000007000000}"/>
    <hyperlink ref="O11" r:id="rId9" xr:uid="{00000000-0004-0000-0300-000008000000}"/>
    <hyperlink ref="O12" r:id="rId10" xr:uid="{00000000-0004-0000-0300-000009000000}"/>
    <hyperlink ref="O13" r:id="rId11" xr:uid="{00000000-0004-0000-0300-00000A000000}"/>
    <hyperlink ref="O14" r:id="rId12" xr:uid="{00000000-0004-0000-0300-00000B000000}"/>
  </hyperlinks>
  <pageMargins left="0.7" right="0.7" top="0.75" bottom="0.75" header="0.3" footer="0.3"/>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1"/>
  <sheetViews>
    <sheetView workbookViewId="0"/>
  </sheetViews>
  <sheetFormatPr baseColWidth="10" defaultColWidth="12.6640625" defaultRowHeight="15.75" customHeight="1"/>
  <cols>
    <col min="1" max="1" width="7.44140625" customWidth="1"/>
    <col min="2" max="2" width="45.6640625" customWidth="1"/>
    <col min="3" max="3" width="28.88671875" customWidth="1"/>
    <col min="4" max="4" width="37.44140625" customWidth="1"/>
    <col min="6" max="6" width="13.109375" customWidth="1"/>
  </cols>
  <sheetData>
    <row r="1" spans="1:6">
      <c r="A1" s="5" t="s">
        <v>16</v>
      </c>
      <c r="B1" s="7" t="s">
        <v>17</v>
      </c>
      <c r="C1" s="7" t="s">
        <v>19</v>
      </c>
      <c r="D1" s="7" t="s">
        <v>20</v>
      </c>
      <c r="E1" s="5" t="s">
        <v>22</v>
      </c>
      <c r="F1" s="5" t="s">
        <v>23</v>
      </c>
    </row>
    <row r="2" spans="1:6">
      <c r="A2" s="8">
        <v>1</v>
      </c>
      <c r="B2" s="9" t="s">
        <v>25</v>
      </c>
      <c r="C2" s="9" t="s">
        <v>27</v>
      </c>
      <c r="D2" s="9" t="s">
        <v>28</v>
      </c>
      <c r="E2" s="8">
        <v>154</v>
      </c>
      <c r="F2" s="8" t="s">
        <v>29</v>
      </c>
    </row>
    <row r="3" spans="1:6">
      <c r="A3" s="8">
        <v>2</v>
      </c>
      <c r="B3" s="9" t="s">
        <v>31</v>
      </c>
      <c r="C3" s="9" t="s">
        <v>32</v>
      </c>
      <c r="D3" s="9" t="s">
        <v>34</v>
      </c>
      <c r="E3" s="8">
        <v>114</v>
      </c>
      <c r="F3" s="8" t="s">
        <v>29</v>
      </c>
    </row>
    <row r="4" spans="1:6">
      <c r="A4" s="8">
        <v>3</v>
      </c>
      <c r="B4" s="9" t="s">
        <v>36</v>
      </c>
      <c r="C4" s="9" t="s">
        <v>38</v>
      </c>
      <c r="D4" s="9" t="s">
        <v>39</v>
      </c>
      <c r="E4" s="8">
        <v>108</v>
      </c>
      <c r="F4" s="8" t="s">
        <v>29</v>
      </c>
    </row>
    <row r="5" spans="1:6">
      <c r="A5" s="8">
        <v>4</v>
      </c>
      <c r="B5" s="9" t="s">
        <v>41</v>
      </c>
      <c r="C5" s="9" t="s">
        <v>43</v>
      </c>
      <c r="D5" s="9" t="s">
        <v>44</v>
      </c>
      <c r="E5" s="8">
        <v>103</v>
      </c>
      <c r="F5" s="8" t="s">
        <v>29</v>
      </c>
    </row>
    <row r="6" spans="1:6">
      <c r="A6" s="8">
        <v>5</v>
      </c>
      <c r="B6" s="9" t="s">
        <v>46</v>
      </c>
      <c r="C6" s="9" t="s">
        <v>48</v>
      </c>
      <c r="D6" s="9" t="s">
        <v>49</v>
      </c>
      <c r="E6" s="8">
        <v>96</v>
      </c>
      <c r="F6" s="8" t="s">
        <v>29</v>
      </c>
    </row>
    <row r="7" spans="1:6">
      <c r="A7" s="8">
        <v>6</v>
      </c>
      <c r="B7" s="9" t="s">
        <v>52</v>
      </c>
      <c r="C7" s="9" t="s">
        <v>53</v>
      </c>
      <c r="D7" s="9" t="s">
        <v>55</v>
      </c>
      <c r="E7" s="8">
        <v>89</v>
      </c>
      <c r="F7" s="8" t="s">
        <v>29</v>
      </c>
    </row>
    <row r="8" spans="1:6">
      <c r="A8" s="8">
        <v>7</v>
      </c>
      <c r="B8" s="9" t="s">
        <v>57</v>
      </c>
      <c r="C8" s="9" t="s">
        <v>58</v>
      </c>
      <c r="D8" s="9" t="s">
        <v>60</v>
      </c>
      <c r="E8" s="8">
        <v>82</v>
      </c>
      <c r="F8" s="8" t="s">
        <v>29</v>
      </c>
    </row>
    <row r="9" spans="1:6">
      <c r="A9" s="8">
        <v>8</v>
      </c>
      <c r="B9" s="9" t="s">
        <v>63</v>
      </c>
      <c r="C9" s="9" t="s">
        <v>64</v>
      </c>
      <c r="D9" s="9" t="s">
        <v>66</v>
      </c>
      <c r="E9" s="8">
        <v>81</v>
      </c>
      <c r="F9" s="8" t="s">
        <v>29</v>
      </c>
    </row>
    <row r="10" spans="1:6">
      <c r="A10" s="8">
        <v>9</v>
      </c>
      <c r="B10" s="9" t="s">
        <v>70</v>
      </c>
      <c r="C10" s="9" t="s">
        <v>72</v>
      </c>
      <c r="D10" s="9" t="s">
        <v>74</v>
      </c>
      <c r="E10" s="8">
        <v>80</v>
      </c>
      <c r="F10" s="8" t="s">
        <v>29</v>
      </c>
    </row>
    <row r="11" spans="1:6">
      <c r="A11" s="8">
        <v>10</v>
      </c>
      <c r="B11" s="9" t="s">
        <v>77</v>
      </c>
      <c r="C11" s="9" t="s">
        <v>78</v>
      </c>
      <c r="D11" s="9" t="s">
        <v>80</v>
      </c>
      <c r="E11" s="8">
        <v>77</v>
      </c>
      <c r="F11" s="8"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15"/>
  <sheetViews>
    <sheetView workbookViewId="0">
      <pane ySplit="1" topLeftCell="A2" activePane="bottomLeft" state="frozen"/>
      <selection pane="bottomLeft" activeCell="B3" sqref="B3"/>
    </sheetView>
  </sheetViews>
  <sheetFormatPr baseColWidth="10" defaultColWidth="12.6640625" defaultRowHeight="15.75" customHeight="1"/>
  <cols>
    <col min="1" max="2" width="30" hidden="1" customWidth="1"/>
    <col min="3" max="3" width="52.6640625" hidden="1" customWidth="1"/>
    <col min="4" max="4" width="9.6640625" customWidth="1"/>
    <col min="5" max="5" width="10.21875" customWidth="1"/>
    <col min="6" max="6" width="10.88671875" customWidth="1"/>
    <col min="7" max="7" width="37.33203125" customWidth="1"/>
    <col min="8" max="8" width="16" customWidth="1"/>
    <col min="9" max="9" width="17.109375" customWidth="1"/>
    <col min="10" max="10" width="13.44140625" customWidth="1"/>
    <col min="11" max="11" width="19.21875" customWidth="1"/>
    <col min="12" max="12" width="16.21875" customWidth="1"/>
    <col min="13" max="13" width="13.33203125" customWidth="1"/>
    <col min="14" max="14" width="11.77734375" customWidth="1"/>
    <col min="15" max="15" width="12.33203125" customWidth="1"/>
    <col min="16" max="16" width="17.21875" customWidth="1"/>
    <col min="17" max="17" width="13.44140625" customWidth="1"/>
    <col min="18" max="18" width="18.44140625" customWidth="1"/>
    <col min="19" max="19" width="30" customWidth="1"/>
  </cols>
  <sheetData>
    <row r="1" spans="1:19" ht="15.75" customHeight="1">
      <c r="A1" s="16" t="s">
        <v>94</v>
      </c>
      <c r="B1" s="16" t="s">
        <v>99</v>
      </c>
      <c r="C1" s="16" t="s">
        <v>1</v>
      </c>
      <c r="D1" s="18" t="s">
        <v>103</v>
      </c>
      <c r="E1" s="18" t="s">
        <v>107</v>
      </c>
      <c r="F1" s="18" t="s">
        <v>65</v>
      </c>
      <c r="G1" s="18" t="s">
        <v>69</v>
      </c>
      <c r="H1" s="21" t="s">
        <v>114</v>
      </c>
      <c r="I1" s="21" t="s">
        <v>117</v>
      </c>
      <c r="J1" s="21" t="s">
        <v>119</v>
      </c>
      <c r="K1" s="21" t="s">
        <v>120</v>
      </c>
      <c r="L1" s="21" t="s">
        <v>121</v>
      </c>
      <c r="M1" s="21" t="s">
        <v>123</v>
      </c>
      <c r="N1" s="21" t="s">
        <v>128</v>
      </c>
      <c r="O1" s="21" t="s">
        <v>130</v>
      </c>
      <c r="P1" s="21" t="s">
        <v>131</v>
      </c>
      <c r="Q1" s="21" t="s">
        <v>132</v>
      </c>
      <c r="R1" s="21" t="s">
        <v>133</v>
      </c>
      <c r="S1" s="25"/>
    </row>
    <row r="2" spans="1:19">
      <c r="A2" s="26" t="s">
        <v>135</v>
      </c>
      <c r="B2" s="26" t="s">
        <v>37</v>
      </c>
      <c r="C2" s="26" t="s">
        <v>138</v>
      </c>
      <c r="D2" s="26" t="s">
        <v>116</v>
      </c>
      <c r="E2" s="26" t="s">
        <v>116</v>
      </c>
      <c r="F2" s="26" t="s">
        <v>139</v>
      </c>
      <c r="G2" s="26" t="s">
        <v>138</v>
      </c>
      <c r="H2" s="26">
        <v>1000</v>
      </c>
      <c r="I2" s="26">
        <v>0</v>
      </c>
      <c r="J2" s="26">
        <v>0</v>
      </c>
      <c r="K2" s="26">
        <v>0</v>
      </c>
      <c r="L2" s="26">
        <v>1600</v>
      </c>
      <c r="M2" s="26">
        <v>0</v>
      </c>
      <c r="N2" s="26">
        <v>0</v>
      </c>
      <c r="O2" s="26">
        <v>0</v>
      </c>
      <c r="P2" s="26">
        <v>0</v>
      </c>
      <c r="Q2" s="26">
        <v>1500</v>
      </c>
      <c r="R2" s="26">
        <v>0</v>
      </c>
      <c r="S2" s="30"/>
    </row>
    <row r="3" spans="1:19">
      <c r="A3" s="26" t="s">
        <v>151</v>
      </c>
      <c r="B3" s="26" t="s">
        <v>152</v>
      </c>
      <c r="C3" s="26" t="s">
        <v>153</v>
      </c>
      <c r="D3" s="32" t="s">
        <v>13</v>
      </c>
      <c r="E3" s="26" t="s">
        <v>13</v>
      </c>
      <c r="F3" s="26" t="s">
        <v>158</v>
      </c>
      <c r="G3" s="26" t="s">
        <v>153</v>
      </c>
      <c r="H3" s="26">
        <v>0</v>
      </c>
      <c r="I3" s="26">
        <v>216</v>
      </c>
      <c r="J3" s="26">
        <v>548</v>
      </c>
      <c r="K3" s="26">
        <v>0</v>
      </c>
      <c r="L3" s="26">
        <v>0</v>
      </c>
      <c r="M3" s="26">
        <v>157</v>
      </c>
      <c r="N3" s="26">
        <v>881</v>
      </c>
      <c r="O3" s="26">
        <v>0</v>
      </c>
      <c r="P3" s="26">
        <v>42</v>
      </c>
      <c r="Q3" s="26">
        <v>0</v>
      </c>
      <c r="R3" s="26">
        <v>58</v>
      </c>
      <c r="S3" s="30"/>
    </row>
    <row r="4" spans="1:19">
      <c r="A4" s="26" t="s">
        <v>169</v>
      </c>
      <c r="B4" s="26" t="s">
        <v>47</v>
      </c>
      <c r="C4" s="32" t="s">
        <v>172</v>
      </c>
      <c r="D4" s="32" t="s">
        <v>173</v>
      </c>
      <c r="E4" s="26" t="s">
        <v>175</v>
      </c>
      <c r="F4" s="26" t="s">
        <v>173</v>
      </c>
      <c r="G4" s="32" t="s">
        <v>172</v>
      </c>
      <c r="H4" s="26">
        <v>250</v>
      </c>
      <c r="I4" s="26">
        <v>0</v>
      </c>
      <c r="J4" s="26">
        <v>0</v>
      </c>
      <c r="K4" s="26">
        <v>10</v>
      </c>
      <c r="L4" s="26">
        <v>0</v>
      </c>
      <c r="M4" s="26">
        <v>0</v>
      </c>
      <c r="N4" s="26">
        <v>0</v>
      </c>
      <c r="O4" s="26">
        <v>0</v>
      </c>
      <c r="P4" s="26">
        <v>0</v>
      </c>
      <c r="Q4" s="26">
        <v>10</v>
      </c>
      <c r="R4" s="26">
        <v>0</v>
      </c>
      <c r="S4" s="30"/>
    </row>
    <row r="5" spans="1:19">
      <c r="A5" s="26" t="s">
        <v>186</v>
      </c>
      <c r="B5" s="26" t="s">
        <v>188</v>
      </c>
      <c r="C5" s="32" t="s">
        <v>160</v>
      </c>
      <c r="D5" s="26" t="s">
        <v>21</v>
      </c>
      <c r="E5" s="26" t="s">
        <v>21</v>
      </c>
      <c r="F5" s="26" t="s">
        <v>21</v>
      </c>
      <c r="G5" s="32" t="s">
        <v>160</v>
      </c>
      <c r="H5" s="26">
        <v>850</v>
      </c>
      <c r="I5" s="26">
        <v>60</v>
      </c>
      <c r="J5" s="26">
        <v>48</v>
      </c>
      <c r="K5" s="26">
        <v>350</v>
      </c>
      <c r="L5" s="26">
        <v>10</v>
      </c>
      <c r="M5" s="26">
        <v>0</v>
      </c>
      <c r="N5" s="26">
        <v>120</v>
      </c>
      <c r="O5" s="26">
        <v>0</v>
      </c>
      <c r="P5" s="26">
        <v>0</v>
      </c>
      <c r="Q5" s="26">
        <v>450</v>
      </c>
      <c r="R5" s="26">
        <v>5</v>
      </c>
      <c r="S5" s="30"/>
    </row>
    <row r="6" spans="1:19">
      <c r="A6" s="26" t="s">
        <v>201</v>
      </c>
      <c r="B6" s="26" t="s">
        <v>203</v>
      </c>
      <c r="C6" s="26" t="s">
        <v>205</v>
      </c>
      <c r="D6" s="26" t="s">
        <v>207</v>
      </c>
      <c r="E6" s="26" t="s">
        <v>209</v>
      </c>
      <c r="F6" s="26" t="s">
        <v>209</v>
      </c>
      <c r="G6" s="26" t="s">
        <v>205</v>
      </c>
      <c r="H6" s="26">
        <v>150</v>
      </c>
      <c r="I6" s="26">
        <v>10</v>
      </c>
      <c r="J6" s="26">
        <v>10</v>
      </c>
      <c r="K6" s="26">
        <v>0</v>
      </c>
      <c r="L6" s="26">
        <v>5</v>
      </c>
      <c r="M6" s="26">
        <v>0</v>
      </c>
      <c r="N6" s="26">
        <v>10</v>
      </c>
      <c r="O6" s="26">
        <v>0</v>
      </c>
      <c r="P6" s="26">
        <v>0</v>
      </c>
      <c r="Q6" s="26">
        <v>0</v>
      </c>
      <c r="R6" s="26">
        <v>0</v>
      </c>
      <c r="S6" s="30"/>
    </row>
    <row r="7" spans="1:19">
      <c r="A7" s="26" t="s">
        <v>212</v>
      </c>
      <c r="B7" s="26" t="s">
        <v>127</v>
      </c>
      <c r="C7" s="26" t="s">
        <v>138</v>
      </c>
      <c r="D7" s="26" t="s">
        <v>116</v>
      </c>
      <c r="E7" s="26" t="s">
        <v>116</v>
      </c>
      <c r="F7" s="26" t="s">
        <v>139</v>
      </c>
      <c r="G7" s="26" t="s">
        <v>138</v>
      </c>
      <c r="H7" s="26">
        <v>520</v>
      </c>
      <c r="I7" s="26">
        <v>0</v>
      </c>
      <c r="J7" s="26">
        <v>0</v>
      </c>
      <c r="K7" s="26">
        <v>0</v>
      </c>
      <c r="L7" s="26">
        <v>1600</v>
      </c>
      <c r="M7" s="26">
        <v>0</v>
      </c>
      <c r="N7" s="26">
        <v>0</v>
      </c>
      <c r="O7" s="26">
        <v>0</v>
      </c>
      <c r="P7" s="26">
        <v>0</v>
      </c>
      <c r="Q7" s="26">
        <v>1200</v>
      </c>
      <c r="R7" s="26">
        <v>0</v>
      </c>
      <c r="S7" s="30"/>
    </row>
    <row r="8" spans="1:19">
      <c r="A8" s="26" t="s">
        <v>215</v>
      </c>
      <c r="B8" s="26" t="s">
        <v>193</v>
      </c>
      <c r="C8" s="26" t="s">
        <v>138</v>
      </c>
      <c r="D8" s="32" t="s">
        <v>116</v>
      </c>
      <c r="E8" s="32" t="s">
        <v>33</v>
      </c>
      <c r="F8" s="26" t="s">
        <v>139</v>
      </c>
      <c r="G8" s="26" t="s">
        <v>138</v>
      </c>
      <c r="H8" s="26">
        <v>0</v>
      </c>
      <c r="I8" s="26">
        <v>100</v>
      </c>
      <c r="J8" s="26">
        <v>200</v>
      </c>
      <c r="K8" s="26">
        <v>0</v>
      </c>
      <c r="L8" s="26">
        <v>0</v>
      </c>
      <c r="M8" s="26">
        <v>0</v>
      </c>
      <c r="N8" s="26">
        <v>200</v>
      </c>
      <c r="O8" s="26">
        <v>0</v>
      </c>
      <c r="P8" s="42" t="s">
        <v>227</v>
      </c>
      <c r="Q8" s="26">
        <v>0</v>
      </c>
      <c r="R8" s="26">
        <v>41</v>
      </c>
      <c r="S8" s="30"/>
    </row>
    <row r="9" spans="1:19">
      <c r="A9" s="26" t="s">
        <v>230</v>
      </c>
      <c r="B9" s="26" t="s">
        <v>231</v>
      </c>
      <c r="C9" s="26" t="s">
        <v>233</v>
      </c>
      <c r="D9" s="32" t="s">
        <v>207</v>
      </c>
      <c r="E9" s="26" t="s">
        <v>234</v>
      </c>
      <c r="F9" s="32" t="s">
        <v>209</v>
      </c>
      <c r="G9" s="26" t="s">
        <v>205</v>
      </c>
      <c r="H9" s="26">
        <v>161</v>
      </c>
      <c r="I9" s="26">
        <v>0</v>
      </c>
      <c r="J9" s="26">
        <v>0</v>
      </c>
      <c r="K9" s="26">
        <v>0</v>
      </c>
      <c r="L9" s="26">
        <v>0</v>
      </c>
      <c r="M9" s="26">
        <v>0</v>
      </c>
      <c r="N9" s="26">
        <v>0</v>
      </c>
      <c r="O9" s="26">
        <v>0</v>
      </c>
      <c r="P9" s="26">
        <v>0</v>
      </c>
      <c r="Q9" s="26">
        <v>0</v>
      </c>
      <c r="R9" s="26">
        <v>0</v>
      </c>
      <c r="S9" s="30"/>
    </row>
    <row r="10" spans="1:19">
      <c r="A10" s="26" t="s">
        <v>247</v>
      </c>
      <c r="B10" s="26" t="s">
        <v>95</v>
      </c>
      <c r="C10" s="26" t="s">
        <v>89</v>
      </c>
      <c r="D10" s="26" t="s">
        <v>252</v>
      </c>
      <c r="E10" s="26" t="s">
        <v>252</v>
      </c>
      <c r="F10" s="26" t="s">
        <v>252</v>
      </c>
      <c r="G10" s="26" t="s">
        <v>89</v>
      </c>
      <c r="H10" s="26">
        <v>10</v>
      </c>
      <c r="I10" s="26">
        <v>0</v>
      </c>
      <c r="J10" s="26">
        <v>0</v>
      </c>
      <c r="K10" s="26">
        <v>0</v>
      </c>
      <c r="L10" s="26">
        <v>0</v>
      </c>
      <c r="M10" s="26">
        <v>0</v>
      </c>
      <c r="N10" s="26">
        <v>0</v>
      </c>
      <c r="O10" s="26">
        <v>0</v>
      </c>
      <c r="P10" s="26">
        <v>0</v>
      </c>
      <c r="Q10" s="26">
        <v>2</v>
      </c>
      <c r="R10" s="26">
        <v>0</v>
      </c>
      <c r="S10" s="30"/>
    </row>
    <row r="11" spans="1:19">
      <c r="A11" s="32" t="s">
        <v>262</v>
      </c>
      <c r="B11" s="52" t="s">
        <v>263</v>
      </c>
      <c r="C11" s="32" t="s">
        <v>262</v>
      </c>
      <c r="D11" s="54" t="s">
        <v>116</v>
      </c>
      <c r="E11" s="54" t="s">
        <v>122</v>
      </c>
      <c r="F11" s="55" t="s">
        <v>124</v>
      </c>
      <c r="G11" s="55" t="s">
        <v>126</v>
      </c>
      <c r="H11" s="32">
        <v>20</v>
      </c>
      <c r="I11" s="23">
        <v>224</v>
      </c>
      <c r="J11" s="32">
        <v>192</v>
      </c>
      <c r="K11" s="32">
        <v>0</v>
      </c>
      <c r="L11" s="32">
        <v>0</v>
      </c>
      <c r="M11" s="23">
        <v>0</v>
      </c>
      <c r="N11" s="23">
        <v>941</v>
      </c>
      <c r="O11" s="23">
        <v>0</v>
      </c>
      <c r="P11" s="23">
        <v>0</v>
      </c>
      <c r="Q11" s="23">
        <v>0</v>
      </c>
      <c r="R11" s="23">
        <v>0</v>
      </c>
      <c r="S11" s="59"/>
    </row>
    <row r="12" spans="1:19">
      <c r="A12" s="32" t="s">
        <v>262</v>
      </c>
      <c r="B12" s="52" t="s">
        <v>263</v>
      </c>
      <c r="C12" s="32" t="s">
        <v>262</v>
      </c>
      <c r="D12" s="55" t="s">
        <v>155</v>
      </c>
      <c r="E12" s="55" t="s">
        <v>155</v>
      </c>
      <c r="F12" s="23" t="s">
        <v>159</v>
      </c>
      <c r="G12" s="54" t="s">
        <v>162</v>
      </c>
      <c r="H12" s="32">
        <v>0</v>
      </c>
      <c r="I12" s="23">
        <v>0</v>
      </c>
      <c r="J12" s="32">
        <v>0</v>
      </c>
      <c r="K12" s="32">
        <v>0</v>
      </c>
      <c r="L12" s="32">
        <v>388</v>
      </c>
      <c r="M12" s="23">
        <v>0</v>
      </c>
      <c r="N12" s="23">
        <v>0</v>
      </c>
      <c r="O12" s="23">
        <v>0</v>
      </c>
      <c r="P12" s="23">
        <v>0</v>
      </c>
      <c r="Q12" s="23">
        <v>0</v>
      </c>
      <c r="R12" s="23">
        <v>214</v>
      </c>
      <c r="S12" s="59"/>
    </row>
    <row r="13" spans="1:19">
      <c r="A13" s="32" t="s">
        <v>262</v>
      </c>
      <c r="B13" s="52" t="s">
        <v>263</v>
      </c>
      <c r="C13" s="32" t="s">
        <v>262</v>
      </c>
      <c r="D13" s="54" t="s">
        <v>21</v>
      </c>
      <c r="E13" s="26" t="s">
        <v>21</v>
      </c>
      <c r="F13" s="26" t="s">
        <v>21</v>
      </c>
      <c r="G13" s="55" t="s">
        <v>224</v>
      </c>
      <c r="H13" s="32">
        <v>1383</v>
      </c>
      <c r="I13" s="23">
        <v>0</v>
      </c>
      <c r="J13" s="32">
        <v>0</v>
      </c>
      <c r="K13" s="32">
        <v>253</v>
      </c>
      <c r="L13" s="32">
        <v>0</v>
      </c>
      <c r="M13" s="23">
        <v>0</v>
      </c>
      <c r="N13" s="23">
        <v>0</v>
      </c>
      <c r="O13" s="23">
        <v>0</v>
      </c>
      <c r="P13" s="23">
        <v>0</v>
      </c>
      <c r="Q13" s="23">
        <v>0</v>
      </c>
      <c r="R13" s="23">
        <v>0</v>
      </c>
      <c r="S13" s="59"/>
    </row>
    <row r="14" spans="1:19">
      <c r="A14" s="32" t="s">
        <v>262</v>
      </c>
      <c r="B14" s="52" t="s">
        <v>263</v>
      </c>
      <c r="C14" s="32" t="s">
        <v>262</v>
      </c>
      <c r="D14" s="55" t="s">
        <v>274</v>
      </c>
      <c r="E14" s="54" t="s">
        <v>275</v>
      </c>
      <c r="F14" s="55" t="s">
        <v>276</v>
      </c>
      <c r="G14" s="54" t="s">
        <v>277</v>
      </c>
      <c r="H14" s="32">
        <v>0</v>
      </c>
      <c r="I14" s="23">
        <v>0</v>
      </c>
      <c r="J14" s="32">
        <v>0</v>
      </c>
      <c r="K14" s="32">
        <v>0</v>
      </c>
      <c r="L14" s="32">
        <v>0</v>
      </c>
      <c r="M14" s="23">
        <v>21</v>
      </c>
      <c r="N14" s="23">
        <v>0</v>
      </c>
      <c r="O14" s="23">
        <v>0</v>
      </c>
      <c r="P14" s="23">
        <v>235</v>
      </c>
      <c r="Q14" s="23">
        <v>180</v>
      </c>
      <c r="R14" s="23">
        <v>0</v>
      </c>
      <c r="S14" s="59"/>
    </row>
    <row r="15" spans="1:19">
      <c r="A15" s="32" t="s">
        <v>262</v>
      </c>
      <c r="B15" s="52" t="s">
        <v>263</v>
      </c>
      <c r="C15" s="32" t="s">
        <v>262</v>
      </c>
      <c r="D15" s="54" t="s">
        <v>207</v>
      </c>
      <c r="E15" s="55" t="s">
        <v>209</v>
      </c>
      <c r="F15" s="55" t="s">
        <v>209</v>
      </c>
      <c r="G15" s="54" t="s">
        <v>254</v>
      </c>
      <c r="H15" s="32">
        <v>0</v>
      </c>
      <c r="I15" s="23">
        <v>0</v>
      </c>
      <c r="J15" s="32">
        <v>0</v>
      </c>
      <c r="K15" s="32">
        <v>0</v>
      </c>
      <c r="L15" s="32">
        <v>0</v>
      </c>
      <c r="M15" s="23">
        <v>0</v>
      </c>
      <c r="N15" s="23">
        <v>0</v>
      </c>
      <c r="O15" s="23">
        <v>0</v>
      </c>
      <c r="P15" s="23">
        <v>0</v>
      </c>
      <c r="Q15" s="23">
        <v>2</v>
      </c>
      <c r="R15" s="23">
        <v>0</v>
      </c>
      <c r="S15" s="5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2"/>
  <sheetViews>
    <sheetView workbookViewId="0"/>
  </sheetViews>
  <sheetFormatPr baseColWidth="10" defaultColWidth="12.6640625" defaultRowHeight="15.75" customHeight="1"/>
  <cols>
    <col min="1" max="1" width="23.21875" customWidth="1"/>
    <col min="2" max="2" width="17" customWidth="1"/>
    <col min="3" max="3" width="11.21875" customWidth="1"/>
    <col min="4" max="4" width="41.21875" customWidth="1"/>
    <col min="5" max="5" width="4" hidden="1" customWidth="1"/>
    <col min="6" max="6" width="38.109375" hidden="1" customWidth="1"/>
    <col min="7" max="7" width="11.21875" hidden="1" customWidth="1"/>
    <col min="8" max="8" width="6.21875" hidden="1" customWidth="1"/>
    <col min="9" max="9" width="4.6640625" hidden="1" customWidth="1"/>
  </cols>
  <sheetData>
    <row r="1" spans="1:9" ht="23.25" customHeight="1">
      <c r="A1" s="15" t="s">
        <v>92</v>
      </c>
      <c r="B1" s="15" t="s">
        <v>96</v>
      </c>
      <c r="C1" s="15" t="s">
        <v>98</v>
      </c>
      <c r="D1" s="15" t="s">
        <v>100</v>
      </c>
      <c r="E1" s="17" t="s">
        <v>102</v>
      </c>
      <c r="F1" s="19" t="s">
        <v>106</v>
      </c>
      <c r="G1" s="19" t="s">
        <v>110</v>
      </c>
      <c r="H1" s="19" t="s">
        <v>111</v>
      </c>
      <c r="I1" s="19"/>
    </row>
    <row r="2" spans="1:9" ht="24">
      <c r="A2" s="20" t="s">
        <v>113</v>
      </c>
      <c r="B2" s="20" t="str">
        <f t="shared" ref="B2:B12" si="0">MID(A2,FIND(" ",A2) + 1 + 1,FIND(")",A2) - 1 - (FIND(" ",A2) + 1))</f>
        <v>Amaranthus caudatus</v>
      </c>
      <c r="C2" s="20" t="str">
        <f t="shared" ref="C2:C12" si="1">LEFT(A2,FIND(" ",A2) - 1)</f>
        <v>Kiwicha</v>
      </c>
      <c r="D2" s="27" t="s">
        <v>144</v>
      </c>
      <c r="E2" s="27">
        <v>35</v>
      </c>
      <c r="F2" s="28">
        <v>34</v>
      </c>
      <c r="G2" s="28">
        <v>34</v>
      </c>
      <c r="H2" s="28">
        <v>27</v>
      </c>
      <c r="I2" s="29"/>
    </row>
    <row r="3" spans="1:9" ht="24">
      <c r="A3" s="20" t="s">
        <v>148</v>
      </c>
      <c r="B3" s="20" t="str">
        <f t="shared" si="0"/>
        <v>Arracacia xanthorrhiza</v>
      </c>
      <c r="C3" s="20" t="str">
        <f t="shared" si="1"/>
        <v>Arracacha</v>
      </c>
      <c r="D3" s="27" t="s">
        <v>150</v>
      </c>
      <c r="E3" s="27">
        <v>9</v>
      </c>
      <c r="F3" s="27">
        <v>8</v>
      </c>
      <c r="G3" s="27">
        <v>8</v>
      </c>
      <c r="H3" s="27">
        <v>6</v>
      </c>
      <c r="I3" s="27"/>
    </row>
    <row r="4" spans="1:9" ht="24">
      <c r="A4" s="20" t="s">
        <v>156</v>
      </c>
      <c r="B4" s="20" t="str">
        <f t="shared" si="0"/>
        <v>Chenopodium pallidicaule</v>
      </c>
      <c r="C4" s="20" t="str">
        <f t="shared" si="1"/>
        <v>Cañihua</v>
      </c>
      <c r="D4" s="27" t="s">
        <v>161</v>
      </c>
      <c r="E4" s="27">
        <v>4</v>
      </c>
      <c r="F4" s="28">
        <v>4</v>
      </c>
      <c r="G4" s="28">
        <v>4</v>
      </c>
      <c r="H4" s="28">
        <v>4</v>
      </c>
      <c r="I4" s="29"/>
    </row>
    <row r="5" spans="1:9" ht="24">
      <c r="A5" s="20" t="s">
        <v>165</v>
      </c>
      <c r="B5" s="20" t="str">
        <f t="shared" si="0"/>
        <v>Chenopodium quinoa</v>
      </c>
      <c r="C5" s="20" t="str">
        <f t="shared" si="1"/>
        <v>Quinua</v>
      </c>
      <c r="D5" s="27" t="s">
        <v>167</v>
      </c>
      <c r="E5" s="27">
        <v>111</v>
      </c>
      <c r="F5" s="20">
        <v>101</v>
      </c>
      <c r="G5" s="20">
        <v>98</v>
      </c>
      <c r="H5" s="20">
        <v>81</v>
      </c>
      <c r="I5" s="34">
        <v>1</v>
      </c>
    </row>
    <row r="6" spans="1:9" ht="13.2">
      <c r="A6" s="20" t="s">
        <v>170</v>
      </c>
      <c r="B6" s="20" t="str">
        <f t="shared" si="0"/>
        <v>Lepidium meyenii</v>
      </c>
      <c r="C6" s="20" t="str">
        <f t="shared" si="1"/>
        <v>Maca</v>
      </c>
      <c r="D6" s="27" t="s">
        <v>174</v>
      </c>
      <c r="E6" s="27">
        <v>2</v>
      </c>
      <c r="F6" s="28">
        <v>2</v>
      </c>
      <c r="G6" s="28">
        <v>2</v>
      </c>
      <c r="H6" s="28">
        <v>0</v>
      </c>
      <c r="I6" s="29"/>
    </row>
    <row r="7" spans="1:9" ht="13.2">
      <c r="A7" s="20" t="s">
        <v>179</v>
      </c>
      <c r="B7" s="20" t="str">
        <f t="shared" si="0"/>
        <v>Lupinus mutabilis</v>
      </c>
      <c r="C7" s="20" t="str">
        <f t="shared" si="1"/>
        <v>Tarwi</v>
      </c>
      <c r="D7" s="27" t="s">
        <v>182</v>
      </c>
      <c r="E7" s="27">
        <v>15</v>
      </c>
      <c r="F7" s="27">
        <v>15</v>
      </c>
      <c r="G7" s="27">
        <v>14</v>
      </c>
      <c r="H7" s="27">
        <v>13</v>
      </c>
      <c r="I7" s="27"/>
    </row>
    <row r="8" spans="1:9" ht="13.2">
      <c r="A8" s="20" t="s">
        <v>185</v>
      </c>
      <c r="B8" s="20" t="str">
        <f t="shared" si="0"/>
        <v>Oxalis tuberosa</v>
      </c>
      <c r="C8" s="20" t="str">
        <f t="shared" si="1"/>
        <v>Oca</v>
      </c>
      <c r="D8" s="27" t="s">
        <v>189</v>
      </c>
      <c r="E8" s="27">
        <v>11</v>
      </c>
      <c r="F8" s="27">
        <v>10</v>
      </c>
      <c r="G8" s="27">
        <v>10</v>
      </c>
      <c r="H8" s="27">
        <v>7</v>
      </c>
      <c r="I8" s="27"/>
    </row>
    <row r="9" spans="1:9" ht="13.2">
      <c r="A9" s="20" t="s">
        <v>192</v>
      </c>
      <c r="B9" s="20" t="str">
        <f t="shared" si="0"/>
        <v>Salvia hispanica</v>
      </c>
      <c r="C9" s="20" t="str">
        <f t="shared" si="1"/>
        <v>Chía</v>
      </c>
      <c r="D9" s="27" t="s">
        <v>194</v>
      </c>
      <c r="E9" s="27">
        <v>11</v>
      </c>
      <c r="F9" s="27">
        <v>11</v>
      </c>
      <c r="G9" s="27">
        <v>11</v>
      </c>
      <c r="H9" s="27">
        <v>7</v>
      </c>
      <c r="I9" s="27"/>
    </row>
    <row r="10" spans="1:9" ht="24">
      <c r="A10" s="20" t="s">
        <v>195</v>
      </c>
      <c r="B10" s="20" t="str">
        <f t="shared" si="0"/>
        <v>Smallanthus sonchifolius</v>
      </c>
      <c r="C10" s="20" t="str">
        <f t="shared" si="1"/>
        <v>Yacón</v>
      </c>
      <c r="D10" s="27" t="s">
        <v>197</v>
      </c>
      <c r="E10" s="27">
        <v>6</v>
      </c>
      <c r="F10" s="27">
        <v>6</v>
      </c>
      <c r="G10" s="27">
        <v>5</v>
      </c>
      <c r="H10" s="27">
        <v>4</v>
      </c>
      <c r="I10" s="27">
        <v>1</v>
      </c>
    </row>
    <row r="11" spans="1:9" ht="24">
      <c r="A11" s="20" t="s">
        <v>199</v>
      </c>
      <c r="B11" s="20" t="str">
        <f t="shared" si="0"/>
        <v>Tropaeolum tuberosum</v>
      </c>
      <c r="C11" s="20" t="str">
        <f t="shared" si="1"/>
        <v>Mashua</v>
      </c>
      <c r="D11" s="27" t="s">
        <v>202</v>
      </c>
      <c r="E11" s="27">
        <v>9</v>
      </c>
      <c r="F11" s="28">
        <v>7</v>
      </c>
      <c r="G11" s="28">
        <v>7</v>
      </c>
      <c r="H11" s="28">
        <v>5</v>
      </c>
      <c r="I11" s="29">
        <v>11</v>
      </c>
    </row>
    <row r="12" spans="1:9" ht="13.2">
      <c r="A12" s="37" t="s">
        <v>210</v>
      </c>
      <c r="B12" s="37" t="str">
        <f t="shared" si="0"/>
        <v>Ullucus tuberosus</v>
      </c>
      <c r="C12" s="37" t="str">
        <f t="shared" si="1"/>
        <v>Olluco</v>
      </c>
      <c r="D12" s="38" t="s">
        <v>211</v>
      </c>
      <c r="E12" s="27">
        <v>9</v>
      </c>
      <c r="F12" s="28">
        <v>8</v>
      </c>
      <c r="G12" s="28">
        <v>8</v>
      </c>
      <c r="H12" s="28">
        <v>5</v>
      </c>
      <c r="I12" s="29">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4"/>
  <sheetViews>
    <sheetView tabSelected="1" topLeftCell="AT1" workbookViewId="0"/>
  </sheetViews>
  <sheetFormatPr baseColWidth="10" defaultColWidth="12.6640625" defaultRowHeight="15.75" customHeight="1"/>
  <cols>
    <col min="1" max="1" width="29.88671875" customWidth="1"/>
    <col min="2" max="2" width="28.109375" customWidth="1"/>
    <col min="3" max="3" width="22.109375" customWidth="1"/>
    <col min="4" max="4" width="14" customWidth="1"/>
    <col min="5" max="5" width="10.88671875" customWidth="1"/>
    <col min="6" max="6" width="12.33203125" customWidth="1"/>
    <col min="7" max="7" width="15.21875" customWidth="1"/>
    <col min="8" max="8" width="10.21875" customWidth="1"/>
    <col min="9" max="9" width="10.33203125" customWidth="1"/>
    <col min="10" max="10" width="17.109375" customWidth="1"/>
    <col min="11" max="11" width="8.21875" customWidth="1"/>
    <col min="12" max="12" width="7.33203125" customWidth="1"/>
    <col min="13" max="13" width="9.33203125" customWidth="1"/>
    <col min="14" max="14" width="8.33203125" customWidth="1"/>
    <col min="15" max="15" width="10.21875" customWidth="1"/>
    <col min="16" max="16" width="17.88671875" customWidth="1"/>
    <col min="17" max="17" width="20.109375" customWidth="1"/>
  </cols>
  <sheetData>
    <row r="1" spans="1:17">
      <c r="A1" s="40" t="s">
        <v>19</v>
      </c>
      <c r="B1" s="40" t="s">
        <v>218</v>
      </c>
      <c r="C1" s="40" t="s">
        <v>219</v>
      </c>
      <c r="D1" s="40" t="s">
        <v>220</v>
      </c>
      <c r="E1" s="40" t="s">
        <v>221</v>
      </c>
      <c r="F1" s="40" t="s">
        <v>222</v>
      </c>
      <c r="G1" s="40" t="s">
        <v>223</v>
      </c>
      <c r="H1" s="40" t="s">
        <v>226</v>
      </c>
      <c r="I1" s="40" t="s">
        <v>228</v>
      </c>
      <c r="J1" s="40" t="s">
        <v>229</v>
      </c>
      <c r="K1" s="40" t="s">
        <v>232</v>
      </c>
      <c r="L1" s="40" t="s">
        <v>235</v>
      </c>
      <c r="M1" s="40" t="s">
        <v>237</v>
      </c>
      <c r="N1" s="40" t="s">
        <v>240</v>
      </c>
      <c r="O1" s="40" t="s">
        <v>243</v>
      </c>
      <c r="P1" s="40" t="s">
        <v>245</v>
      </c>
      <c r="Q1" s="40" t="s">
        <v>248</v>
      </c>
    </row>
    <row r="2" spans="1:17">
      <c r="A2" s="46" t="s">
        <v>251</v>
      </c>
      <c r="B2" s="46" t="s">
        <v>253</v>
      </c>
      <c r="C2" s="48" t="s">
        <v>255</v>
      </c>
      <c r="D2" s="51" t="s">
        <v>257</v>
      </c>
      <c r="E2" s="51" t="s">
        <v>257</v>
      </c>
      <c r="F2" s="51" t="s">
        <v>257</v>
      </c>
      <c r="G2" s="53"/>
      <c r="H2" s="51" t="s">
        <v>257</v>
      </c>
      <c r="I2" s="51" t="s">
        <v>257</v>
      </c>
      <c r="J2" s="53"/>
      <c r="K2" s="53"/>
      <c r="L2" s="51" t="s">
        <v>257</v>
      </c>
      <c r="M2" s="53"/>
      <c r="N2" s="53"/>
      <c r="O2" s="51" t="s">
        <v>257</v>
      </c>
      <c r="P2" s="51" t="s">
        <v>257</v>
      </c>
      <c r="Q2" s="51" t="s">
        <v>257</v>
      </c>
    </row>
    <row r="3" spans="1:17">
      <c r="A3" s="46" t="s">
        <v>266</v>
      </c>
      <c r="B3" s="60" t="s">
        <v>268</v>
      </c>
      <c r="C3" s="46" t="s">
        <v>269</v>
      </c>
      <c r="D3" s="53"/>
      <c r="E3" s="51" t="s">
        <v>257</v>
      </c>
      <c r="F3" s="53"/>
      <c r="G3" s="53"/>
      <c r="H3" s="51" t="s">
        <v>257</v>
      </c>
      <c r="I3" s="51" t="s">
        <v>257</v>
      </c>
      <c r="J3" s="53"/>
      <c r="K3" s="53"/>
      <c r="L3" s="53"/>
      <c r="M3" s="53"/>
      <c r="N3" s="53"/>
      <c r="O3" s="51" t="s">
        <v>257</v>
      </c>
      <c r="P3" s="51" t="s">
        <v>257</v>
      </c>
      <c r="Q3" s="51" t="s">
        <v>257</v>
      </c>
    </row>
    <row r="4" spans="1:17">
      <c r="A4" s="46" t="s">
        <v>278</v>
      </c>
      <c r="B4" s="62" t="s">
        <v>280</v>
      </c>
      <c r="C4" s="63" t="s">
        <v>283</v>
      </c>
      <c r="D4" s="53"/>
      <c r="E4" s="51" t="s">
        <v>257</v>
      </c>
      <c r="F4" s="51" t="s">
        <v>257</v>
      </c>
      <c r="G4" s="53"/>
      <c r="H4" s="53"/>
      <c r="I4" s="51" t="s">
        <v>257</v>
      </c>
      <c r="J4" s="53"/>
      <c r="K4" s="53"/>
      <c r="L4" s="51" t="s">
        <v>257</v>
      </c>
      <c r="M4" s="53"/>
      <c r="N4" s="53"/>
      <c r="O4" s="51" t="s">
        <v>257</v>
      </c>
      <c r="P4" s="51" t="s">
        <v>257</v>
      </c>
      <c r="Q4" s="51" t="s">
        <v>257</v>
      </c>
    </row>
    <row r="5" spans="1:17">
      <c r="A5" s="46" t="s">
        <v>151</v>
      </c>
      <c r="B5" s="62" t="s">
        <v>285</v>
      </c>
      <c r="C5" s="67"/>
      <c r="D5" s="53"/>
      <c r="E5" s="53"/>
      <c r="F5" s="53"/>
      <c r="G5" s="53"/>
      <c r="H5" s="53"/>
      <c r="I5" s="53"/>
      <c r="J5" s="51" t="s">
        <v>257</v>
      </c>
      <c r="K5" s="53"/>
      <c r="L5" s="53"/>
      <c r="M5" s="53"/>
      <c r="N5" s="53"/>
      <c r="O5" s="53"/>
      <c r="P5" s="53"/>
      <c r="Q5" s="51" t="s">
        <v>257</v>
      </c>
    </row>
    <row r="6" spans="1:17">
      <c r="A6" s="46" t="s">
        <v>289</v>
      </c>
      <c r="B6" s="62" t="s">
        <v>290</v>
      </c>
      <c r="C6" s="63" t="s">
        <v>292</v>
      </c>
      <c r="D6" s="53"/>
      <c r="E6" s="53"/>
      <c r="F6" s="53"/>
      <c r="G6" s="53"/>
      <c r="H6" s="53"/>
      <c r="I6" s="53"/>
      <c r="J6" s="51" t="s">
        <v>257</v>
      </c>
      <c r="K6" s="53"/>
      <c r="L6" s="53"/>
      <c r="M6" s="53"/>
      <c r="N6" s="53"/>
      <c r="O6" s="53"/>
      <c r="P6" s="53"/>
      <c r="Q6" s="51" t="s">
        <v>257</v>
      </c>
    </row>
    <row r="7" spans="1:17">
      <c r="A7" s="46" t="s">
        <v>296</v>
      </c>
      <c r="B7" s="62" t="s">
        <v>297</v>
      </c>
      <c r="C7" s="46" t="s">
        <v>298</v>
      </c>
      <c r="D7" s="53"/>
      <c r="E7" s="53"/>
      <c r="F7" s="53"/>
      <c r="G7" s="53"/>
      <c r="H7" s="53"/>
      <c r="I7" s="53"/>
      <c r="J7" s="51" t="s">
        <v>257</v>
      </c>
      <c r="K7" s="53"/>
      <c r="L7" s="53"/>
      <c r="M7" s="53"/>
      <c r="N7" s="53"/>
      <c r="O7" s="53"/>
      <c r="P7" s="53"/>
      <c r="Q7" s="51" t="s">
        <v>257</v>
      </c>
    </row>
    <row r="8" spans="1:17">
      <c r="A8" s="46" t="s">
        <v>299</v>
      </c>
      <c r="B8" s="62" t="s">
        <v>300</v>
      </c>
      <c r="C8" s="46" t="s">
        <v>302</v>
      </c>
      <c r="D8" s="53"/>
      <c r="E8" s="53"/>
      <c r="F8" s="53"/>
      <c r="G8" s="53"/>
      <c r="H8" s="53"/>
      <c r="I8" s="53"/>
      <c r="J8" s="51" t="s">
        <v>257</v>
      </c>
      <c r="K8" s="53"/>
      <c r="L8" s="53"/>
      <c r="M8" s="53"/>
      <c r="N8" s="53"/>
      <c r="O8" s="53"/>
      <c r="P8" s="53"/>
      <c r="Q8" s="51" t="s">
        <v>257</v>
      </c>
    </row>
    <row r="9" spans="1:17">
      <c r="A9" s="46" t="s">
        <v>304</v>
      </c>
      <c r="B9" s="62" t="s">
        <v>305</v>
      </c>
      <c r="C9" s="67"/>
      <c r="D9" s="53"/>
      <c r="E9" s="53"/>
      <c r="F9" s="53"/>
      <c r="G9" s="53"/>
      <c r="H9" s="53"/>
      <c r="I9" s="53"/>
      <c r="J9" s="51" t="s">
        <v>257</v>
      </c>
      <c r="K9" s="53"/>
      <c r="L9" s="53"/>
      <c r="M9" s="53"/>
      <c r="N9" s="53"/>
      <c r="O9" s="53"/>
      <c r="P9" s="53"/>
      <c r="Q9" s="51" t="s">
        <v>257</v>
      </c>
    </row>
    <row r="10" spans="1:17">
      <c r="A10" s="46" t="s">
        <v>307</v>
      </c>
      <c r="B10" s="62" t="s">
        <v>308</v>
      </c>
      <c r="C10" s="46" t="s">
        <v>311</v>
      </c>
      <c r="D10" s="53"/>
      <c r="E10" s="53"/>
      <c r="F10" s="53"/>
      <c r="G10" s="53"/>
      <c r="H10" s="53"/>
      <c r="I10" s="53"/>
      <c r="J10" s="51" t="s">
        <v>257</v>
      </c>
      <c r="K10" s="53"/>
      <c r="L10" s="53"/>
      <c r="M10" s="53"/>
      <c r="N10" s="53"/>
      <c r="O10" s="53"/>
      <c r="P10" s="53"/>
      <c r="Q10" s="51" t="s">
        <v>257</v>
      </c>
    </row>
    <row r="11" spans="1:17">
      <c r="A11" s="46" t="s">
        <v>186</v>
      </c>
      <c r="B11" s="62" t="s">
        <v>314</v>
      </c>
      <c r="C11" s="46" t="s">
        <v>315</v>
      </c>
      <c r="D11" s="53"/>
      <c r="E11" s="53"/>
      <c r="F11" s="53"/>
      <c r="G11" s="53"/>
      <c r="H11" s="53"/>
      <c r="I11" s="53"/>
      <c r="J11" s="51" t="s">
        <v>257</v>
      </c>
      <c r="K11" s="53"/>
      <c r="L11" s="53"/>
      <c r="M11" s="53"/>
      <c r="N11" s="53"/>
      <c r="O11" s="53"/>
      <c r="P11" s="53"/>
      <c r="Q11" s="51" t="s">
        <v>257</v>
      </c>
    </row>
    <row r="12" spans="1:17">
      <c r="A12" s="46" t="s">
        <v>317</v>
      </c>
      <c r="B12" s="62" t="s">
        <v>318</v>
      </c>
      <c r="C12" s="46" t="s">
        <v>320</v>
      </c>
      <c r="D12" s="53"/>
      <c r="E12" s="53"/>
      <c r="F12" s="53"/>
      <c r="G12" s="53"/>
      <c r="H12" s="53"/>
      <c r="I12" s="53"/>
      <c r="J12" s="51" t="s">
        <v>257</v>
      </c>
      <c r="K12" s="53"/>
      <c r="L12" s="53"/>
      <c r="M12" s="53"/>
      <c r="N12" s="53"/>
      <c r="O12" s="53"/>
      <c r="P12" s="53"/>
      <c r="Q12" s="51" t="s">
        <v>257</v>
      </c>
    </row>
    <row r="13" spans="1:17">
      <c r="A13" s="79" t="s">
        <v>323</v>
      </c>
      <c r="B13" s="62" t="s">
        <v>324</v>
      </c>
      <c r="C13" s="79" t="s">
        <v>325</v>
      </c>
      <c r="D13" s="53"/>
      <c r="E13" s="53"/>
      <c r="F13" s="53"/>
      <c r="G13" s="51" t="s">
        <v>257</v>
      </c>
      <c r="H13" s="53"/>
      <c r="I13" s="53"/>
      <c r="J13" s="51" t="s">
        <v>257</v>
      </c>
      <c r="K13" s="51" t="s">
        <v>257</v>
      </c>
      <c r="L13" s="53"/>
      <c r="M13" s="53"/>
      <c r="N13" s="53"/>
      <c r="O13" s="53"/>
      <c r="P13" s="53"/>
      <c r="Q13" s="51" t="s">
        <v>257</v>
      </c>
    </row>
    <row r="14" spans="1:17">
      <c r="A14" s="67" t="s">
        <v>326</v>
      </c>
      <c r="B14" s="67" t="s">
        <v>71</v>
      </c>
      <c r="C14" s="67" t="s">
        <v>327</v>
      </c>
      <c r="D14" s="51" t="s">
        <v>257</v>
      </c>
      <c r="E14" s="51" t="s">
        <v>257</v>
      </c>
      <c r="F14" s="51" t="s">
        <v>257</v>
      </c>
      <c r="G14" s="51" t="s">
        <v>257</v>
      </c>
      <c r="H14" s="51" t="s">
        <v>257</v>
      </c>
      <c r="I14" s="51" t="s">
        <v>257</v>
      </c>
      <c r="J14" s="51" t="s">
        <v>257</v>
      </c>
      <c r="K14" s="51" t="s">
        <v>257</v>
      </c>
      <c r="L14" s="51" t="s">
        <v>257</v>
      </c>
      <c r="M14" s="51" t="s">
        <v>257</v>
      </c>
      <c r="N14" s="51" t="s">
        <v>257</v>
      </c>
      <c r="O14" s="51" t="s">
        <v>257</v>
      </c>
      <c r="P14" s="51" t="s">
        <v>257</v>
      </c>
      <c r="Q14" s="51" t="s">
        <v>257</v>
      </c>
    </row>
  </sheetData>
  <hyperlinks>
    <hyperlink ref="B4" r:id="rId1" xr:uid="{00000000-0004-0000-0700-000000000000}"/>
    <hyperlink ref="B5" r:id="rId2" xr:uid="{00000000-0004-0000-0700-000001000000}"/>
    <hyperlink ref="B6" r:id="rId3" xr:uid="{00000000-0004-0000-0700-000002000000}"/>
    <hyperlink ref="B7" r:id="rId4" xr:uid="{00000000-0004-0000-0700-000003000000}"/>
    <hyperlink ref="B8" r:id="rId5" xr:uid="{00000000-0004-0000-0700-000004000000}"/>
    <hyperlink ref="B9" r:id="rId6" xr:uid="{00000000-0004-0000-0700-000005000000}"/>
    <hyperlink ref="B10" r:id="rId7" xr:uid="{00000000-0004-0000-0700-000006000000}"/>
    <hyperlink ref="B11" r:id="rId8" xr:uid="{00000000-0004-0000-0700-000007000000}"/>
    <hyperlink ref="B12" r:id="rId9" xr:uid="{00000000-0004-0000-0700-000008000000}"/>
    <hyperlink ref="B13" r:id="rId10" xr:uid="{00000000-0004-0000-0700-000009000000}"/>
  </hyperlinks>
  <pageMargins left="0.7" right="0.7" top="0.75" bottom="0.75" header="0.3" footer="0.3"/>
  <legacy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49"/>
  <sheetViews>
    <sheetView workbookViewId="0"/>
  </sheetViews>
  <sheetFormatPr baseColWidth="10" defaultColWidth="12.6640625" defaultRowHeight="15.75" customHeight="1"/>
  <cols>
    <col min="1" max="1" width="14.33203125" customWidth="1"/>
    <col min="2" max="2" width="34.109375" customWidth="1"/>
    <col min="3" max="3" width="20.77734375" customWidth="1"/>
    <col min="4" max="4" width="15.21875" customWidth="1"/>
    <col min="5" max="5" width="15.33203125" customWidth="1"/>
    <col min="6" max="6" width="24.88671875" customWidth="1"/>
    <col min="7" max="8" width="16.44140625" customWidth="1"/>
    <col min="9" max="9" width="34.109375" customWidth="1"/>
  </cols>
  <sheetData>
    <row r="1" spans="1:9" ht="26.4">
      <c r="A1" s="43" t="s">
        <v>50</v>
      </c>
      <c r="B1" s="43" t="s">
        <v>238</v>
      </c>
      <c r="C1" s="43" t="s">
        <v>239</v>
      </c>
      <c r="D1" s="43" t="s">
        <v>241</v>
      </c>
      <c r="E1" s="43" t="s">
        <v>242</v>
      </c>
      <c r="F1" s="44" t="s">
        <v>244</v>
      </c>
      <c r="G1" s="45" t="s">
        <v>246</v>
      </c>
      <c r="H1" s="45" t="s">
        <v>249</v>
      </c>
      <c r="I1" s="43" t="s">
        <v>250</v>
      </c>
    </row>
    <row r="2" spans="1:9" ht="26.4">
      <c r="A2" s="81" t="s">
        <v>207</v>
      </c>
      <c r="B2" s="47" t="s">
        <v>254</v>
      </c>
      <c r="C2" s="49" t="s">
        <v>132</v>
      </c>
      <c r="D2" s="83" t="s">
        <v>256</v>
      </c>
      <c r="E2" s="47">
        <v>2</v>
      </c>
      <c r="F2" s="50" t="s">
        <v>258</v>
      </c>
      <c r="G2" s="50" t="s">
        <v>259</v>
      </c>
      <c r="H2" s="50" t="s">
        <v>260</v>
      </c>
      <c r="I2" s="56" t="s">
        <v>261</v>
      </c>
    </row>
    <row r="3" spans="1:9" ht="13.2">
      <c r="A3" s="82"/>
      <c r="B3" s="83" t="s">
        <v>205</v>
      </c>
      <c r="C3" s="57" t="s">
        <v>114</v>
      </c>
      <c r="D3" s="82"/>
      <c r="E3" s="47">
        <v>150</v>
      </c>
      <c r="F3" s="58"/>
      <c r="G3" s="50" t="s">
        <v>265</v>
      </c>
      <c r="H3" s="50" t="s">
        <v>260</v>
      </c>
      <c r="I3" s="47"/>
    </row>
    <row r="4" spans="1:9" ht="13.2">
      <c r="A4" s="82"/>
      <c r="B4" s="82"/>
      <c r="C4" s="57" t="s">
        <v>117</v>
      </c>
      <c r="D4" s="82"/>
      <c r="E4" s="47">
        <v>10</v>
      </c>
      <c r="F4" s="50" t="s">
        <v>267</v>
      </c>
      <c r="G4" s="50" t="s">
        <v>265</v>
      </c>
      <c r="H4" s="50" t="s">
        <v>260</v>
      </c>
      <c r="I4" s="47"/>
    </row>
    <row r="5" spans="1:9" ht="13.2">
      <c r="A5" s="82"/>
      <c r="B5" s="82"/>
      <c r="C5" s="57" t="s">
        <v>119</v>
      </c>
      <c r="D5" s="82"/>
      <c r="E5" s="47">
        <v>10</v>
      </c>
      <c r="F5" s="50" t="s">
        <v>267</v>
      </c>
      <c r="G5" s="50" t="s">
        <v>265</v>
      </c>
      <c r="H5" s="50" t="s">
        <v>260</v>
      </c>
      <c r="I5" s="47"/>
    </row>
    <row r="6" spans="1:9" ht="13.2">
      <c r="A6" s="82"/>
      <c r="B6" s="82"/>
      <c r="C6" s="57" t="s">
        <v>121</v>
      </c>
      <c r="D6" s="82"/>
      <c r="E6" s="47">
        <v>5</v>
      </c>
      <c r="F6" s="50" t="s">
        <v>258</v>
      </c>
      <c r="G6" s="50" t="s">
        <v>265</v>
      </c>
      <c r="H6" s="50" t="s">
        <v>260</v>
      </c>
      <c r="I6" s="47"/>
    </row>
    <row r="7" spans="1:9" ht="13.2">
      <c r="A7" s="82"/>
      <c r="B7" s="82"/>
      <c r="C7" s="57" t="s">
        <v>128</v>
      </c>
      <c r="D7" s="82"/>
      <c r="E7" s="47">
        <v>10</v>
      </c>
      <c r="F7" s="50" t="s">
        <v>271</v>
      </c>
      <c r="G7" s="50" t="s">
        <v>265</v>
      </c>
      <c r="H7" s="50" t="s">
        <v>260</v>
      </c>
      <c r="I7" s="47"/>
    </row>
    <row r="8" spans="1:9" ht="13.2">
      <c r="A8" s="82"/>
      <c r="B8" s="82"/>
      <c r="C8" s="57" t="s">
        <v>114</v>
      </c>
      <c r="D8" s="82"/>
      <c r="E8" s="47">
        <v>161</v>
      </c>
      <c r="F8" s="50" t="s">
        <v>271</v>
      </c>
      <c r="G8" s="47" t="s">
        <v>273</v>
      </c>
      <c r="H8" s="50" t="s">
        <v>260</v>
      </c>
      <c r="I8" s="47"/>
    </row>
    <row r="9" spans="1:9" ht="26.4">
      <c r="A9" s="61" t="s">
        <v>252</v>
      </c>
      <c r="B9" s="50" t="s">
        <v>89</v>
      </c>
      <c r="C9" s="57" t="s">
        <v>114</v>
      </c>
      <c r="D9" s="83" t="s">
        <v>256</v>
      </c>
      <c r="E9" s="47">
        <v>10</v>
      </c>
      <c r="F9" s="50" t="s">
        <v>271</v>
      </c>
      <c r="G9" s="47" t="s">
        <v>265</v>
      </c>
      <c r="H9" s="50" t="s">
        <v>260</v>
      </c>
      <c r="I9" s="47"/>
    </row>
    <row r="10" spans="1:9" ht="28.5" customHeight="1">
      <c r="A10" s="61" t="s">
        <v>252</v>
      </c>
      <c r="B10" s="50" t="s">
        <v>89</v>
      </c>
      <c r="C10" s="57" t="s">
        <v>132</v>
      </c>
      <c r="D10" s="82"/>
      <c r="E10" s="47">
        <v>2</v>
      </c>
      <c r="F10" s="50" t="s">
        <v>258</v>
      </c>
      <c r="G10" s="47" t="s">
        <v>265</v>
      </c>
      <c r="H10" s="50" t="s">
        <v>260</v>
      </c>
      <c r="I10" s="47"/>
    </row>
    <row r="11" spans="1:9" ht="13.2">
      <c r="A11" s="84" t="s">
        <v>173</v>
      </c>
      <c r="B11" s="85" t="s">
        <v>172</v>
      </c>
      <c r="C11" s="57" t="s">
        <v>114</v>
      </c>
      <c r="D11" s="83" t="s">
        <v>256</v>
      </c>
      <c r="E11" s="47">
        <v>250</v>
      </c>
      <c r="F11" s="50" t="s">
        <v>271</v>
      </c>
      <c r="G11" s="47" t="s">
        <v>265</v>
      </c>
      <c r="H11" s="50" t="s">
        <v>260</v>
      </c>
      <c r="I11" s="47"/>
    </row>
    <row r="12" spans="1:9" ht="26.4">
      <c r="A12" s="82"/>
      <c r="B12" s="82"/>
      <c r="C12" s="57" t="s">
        <v>120</v>
      </c>
      <c r="D12" s="82"/>
      <c r="E12" s="47">
        <v>10</v>
      </c>
      <c r="F12" s="58"/>
      <c r="G12" s="47" t="s">
        <v>265</v>
      </c>
      <c r="H12" s="50" t="s">
        <v>260</v>
      </c>
      <c r="I12" s="47"/>
    </row>
    <row r="13" spans="1:9" ht="13.2">
      <c r="A13" s="82"/>
      <c r="B13" s="82"/>
      <c r="C13" s="57" t="s">
        <v>132</v>
      </c>
      <c r="D13" s="82"/>
      <c r="E13" s="47">
        <v>10</v>
      </c>
      <c r="F13" s="58"/>
      <c r="G13" s="47" t="s">
        <v>265</v>
      </c>
      <c r="H13" s="50" t="s">
        <v>260</v>
      </c>
      <c r="I13" s="47"/>
    </row>
    <row r="14" spans="1:9" ht="26.4">
      <c r="A14" s="81" t="s">
        <v>155</v>
      </c>
      <c r="B14" s="85" t="s">
        <v>162</v>
      </c>
      <c r="C14" s="57" t="s">
        <v>133</v>
      </c>
      <c r="D14" s="83" t="s">
        <v>256</v>
      </c>
      <c r="E14" s="47">
        <v>214</v>
      </c>
      <c r="F14" s="50" t="s">
        <v>258</v>
      </c>
      <c r="G14" s="47" t="s">
        <v>284</v>
      </c>
      <c r="H14" s="50" t="s">
        <v>260</v>
      </c>
      <c r="I14" s="56" t="s">
        <v>177</v>
      </c>
    </row>
    <row r="15" spans="1:9" ht="26.4">
      <c r="A15" s="82"/>
      <c r="B15" s="82"/>
      <c r="C15" s="57" t="s">
        <v>121</v>
      </c>
      <c r="D15" s="82"/>
      <c r="E15" s="47">
        <v>388</v>
      </c>
      <c r="F15" s="50" t="s">
        <v>258</v>
      </c>
      <c r="G15" s="47" t="s">
        <v>273</v>
      </c>
      <c r="H15" s="50" t="s">
        <v>260</v>
      </c>
      <c r="I15" s="56" t="s">
        <v>272</v>
      </c>
    </row>
    <row r="16" spans="1:9" ht="26.4">
      <c r="A16" s="81" t="s">
        <v>116</v>
      </c>
      <c r="B16" s="85" t="s">
        <v>126</v>
      </c>
      <c r="C16" s="57" t="s">
        <v>117</v>
      </c>
      <c r="D16" s="83" t="s">
        <v>256</v>
      </c>
      <c r="E16" s="47">
        <v>224</v>
      </c>
      <c r="F16" s="50" t="s">
        <v>258</v>
      </c>
      <c r="G16" s="47" t="s">
        <v>286</v>
      </c>
      <c r="H16" s="50" t="s">
        <v>260</v>
      </c>
      <c r="I16" s="56" t="s">
        <v>143</v>
      </c>
    </row>
    <row r="17" spans="1:9" ht="52.8">
      <c r="A17" s="82"/>
      <c r="B17" s="82"/>
      <c r="C17" s="57" t="s">
        <v>128</v>
      </c>
      <c r="D17" s="82"/>
      <c r="E17" s="47">
        <v>941</v>
      </c>
      <c r="F17" s="50" t="s">
        <v>258</v>
      </c>
      <c r="G17" s="47" t="s">
        <v>286</v>
      </c>
      <c r="H17" s="50" t="s">
        <v>260</v>
      </c>
      <c r="I17" s="70" t="s">
        <v>287</v>
      </c>
    </row>
    <row r="18" spans="1:9" ht="39.6">
      <c r="A18" s="82"/>
      <c r="B18" s="82"/>
      <c r="C18" s="57" t="s">
        <v>114</v>
      </c>
      <c r="D18" s="47" t="s">
        <v>291</v>
      </c>
      <c r="E18" s="47">
        <v>20</v>
      </c>
      <c r="F18" s="50" t="s">
        <v>258</v>
      </c>
      <c r="G18" s="47" t="s">
        <v>259</v>
      </c>
      <c r="H18" s="50" t="s">
        <v>260</v>
      </c>
      <c r="I18" s="56" t="s">
        <v>217</v>
      </c>
    </row>
    <row r="19" spans="1:9" ht="26.4">
      <c r="A19" s="82"/>
      <c r="B19" s="82"/>
      <c r="C19" s="57" t="s">
        <v>119</v>
      </c>
      <c r="D19" s="47" t="s">
        <v>256</v>
      </c>
      <c r="E19" s="47">
        <v>192</v>
      </c>
      <c r="F19" s="50" t="s">
        <v>258</v>
      </c>
      <c r="G19" s="47" t="s">
        <v>284</v>
      </c>
      <c r="H19" s="50" t="s">
        <v>260</v>
      </c>
      <c r="I19" s="56" t="s">
        <v>295</v>
      </c>
    </row>
    <row r="20" spans="1:9" ht="13.2">
      <c r="A20" s="82"/>
      <c r="B20" s="85" t="s">
        <v>138</v>
      </c>
      <c r="C20" s="57" t="s">
        <v>114</v>
      </c>
      <c r="D20" s="85" t="s">
        <v>256</v>
      </c>
      <c r="E20" s="47">
        <v>1000</v>
      </c>
      <c r="F20" s="50" t="s">
        <v>258</v>
      </c>
      <c r="G20" s="47" t="s">
        <v>265</v>
      </c>
      <c r="H20" s="50" t="s">
        <v>260</v>
      </c>
      <c r="I20" s="47"/>
    </row>
    <row r="21" spans="1:9" ht="13.2">
      <c r="A21" s="82"/>
      <c r="B21" s="82"/>
      <c r="C21" s="57" t="s">
        <v>121</v>
      </c>
      <c r="D21" s="82"/>
      <c r="E21" s="47">
        <v>1600</v>
      </c>
      <c r="F21" s="50" t="s">
        <v>258</v>
      </c>
      <c r="G21" s="47" t="s">
        <v>265</v>
      </c>
      <c r="H21" s="50" t="s">
        <v>260</v>
      </c>
      <c r="I21" s="47"/>
    </row>
    <row r="22" spans="1:9" ht="13.2">
      <c r="A22" s="82"/>
      <c r="B22" s="82"/>
      <c r="C22" s="57" t="s">
        <v>132</v>
      </c>
      <c r="D22" s="82"/>
      <c r="E22" s="47">
        <v>1500</v>
      </c>
      <c r="F22" s="50" t="s">
        <v>258</v>
      </c>
      <c r="G22" s="47" t="s">
        <v>265</v>
      </c>
      <c r="H22" s="50" t="s">
        <v>260</v>
      </c>
      <c r="I22" s="47"/>
    </row>
    <row r="23" spans="1:9" ht="13.2">
      <c r="A23" s="82"/>
      <c r="B23" s="82"/>
      <c r="C23" s="57" t="s">
        <v>114</v>
      </c>
      <c r="D23" s="82"/>
      <c r="E23" s="47">
        <v>520</v>
      </c>
      <c r="F23" s="50" t="s">
        <v>258</v>
      </c>
      <c r="G23" s="47" t="s">
        <v>273</v>
      </c>
      <c r="H23" s="50" t="s">
        <v>260</v>
      </c>
      <c r="I23" s="47"/>
    </row>
    <row r="24" spans="1:9" ht="13.2">
      <c r="A24" s="82"/>
      <c r="B24" s="82"/>
      <c r="C24" s="57" t="s">
        <v>121</v>
      </c>
      <c r="D24" s="82"/>
      <c r="E24" s="47">
        <v>1600</v>
      </c>
      <c r="F24" s="50" t="s">
        <v>258</v>
      </c>
      <c r="G24" s="47" t="s">
        <v>273</v>
      </c>
      <c r="H24" s="50" t="s">
        <v>260</v>
      </c>
      <c r="I24" s="47"/>
    </row>
    <row r="25" spans="1:9" ht="13.2">
      <c r="A25" s="82"/>
      <c r="B25" s="82"/>
      <c r="C25" s="57" t="s">
        <v>132</v>
      </c>
      <c r="D25" s="82"/>
      <c r="E25" s="47">
        <v>1200</v>
      </c>
      <c r="F25" s="50" t="s">
        <v>258</v>
      </c>
      <c r="G25" s="47" t="s">
        <v>273</v>
      </c>
      <c r="H25" s="50" t="s">
        <v>260</v>
      </c>
      <c r="I25" s="47"/>
    </row>
    <row r="26" spans="1:9" ht="13.2">
      <c r="A26" s="82"/>
      <c r="B26" s="82"/>
      <c r="C26" s="57" t="s">
        <v>117</v>
      </c>
      <c r="D26" s="82"/>
      <c r="E26" s="47">
        <v>100</v>
      </c>
      <c r="F26" s="50" t="s">
        <v>258</v>
      </c>
      <c r="G26" s="47" t="s">
        <v>259</v>
      </c>
      <c r="H26" s="50" t="s">
        <v>260</v>
      </c>
      <c r="I26" s="47"/>
    </row>
    <row r="27" spans="1:9" ht="13.2">
      <c r="A27" s="82"/>
      <c r="B27" s="82"/>
      <c r="C27" s="57" t="s">
        <v>119</v>
      </c>
      <c r="D27" s="82"/>
      <c r="E27" s="47">
        <v>200</v>
      </c>
      <c r="F27" s="50" t="s">
        <v>258</v>
      </c>
      <c r="G27" s="47" t="s">
        <v>259</v>
      </c>
      <c r="H27" s="50" t="s">
        <v>260</v>
      </c>
      <c r="I27" s="47"/>
    </row>
    <row r="28" spans="1:9" ht="13.2">
      <c r="A28" s="82"/>
      <c r="B28" s="82"/>
      <c r="C28" s="57" t="s">
        <v>128</v>
      </c>
      <c r="D28" s="82"/>
      <c r="E28" s="47">
        <v>200</v>
      </c>
      <c r="F28" s="50" t="s">
        <v>258</v>
      </c>
      <c r="G28" s="47" t="s">
        <v>259</v>
      </c>
      <c r="H28" s="50" t="s">
        <v>260</v>
      </c>
      <c r="I28" s="47"/>
    </row>
    <row r="29" spans="1:9" ht="13.2">
      <c r="A29" s="82"/>
      <c r="B29" s="82"/>
      <c r="C29" s="57" t="s">
        <v>131</v>
      </c>
      <c r="D29" s="82"/>
      <c r="E29" s="47">
        <v>7</v>
      </c>
      <c r="F29" s="50" t="s">
        <v>258</v>
      </c>
      <c r="G29" s="47" t="s">
        <v>259</v>
      </c>
      <c r="H29" s="50" t="s">
        <v>260</v>
      </c>
      <c r="I29" s="47"/>
    </row>
    <row r="30" spans="1:9" ht="26.4">
      <c r="A30" s="82"/>
      <c r="B30" s="82"/>
      <c r="C30" s="57" t="s">
        <v>133</v>
      </c>
      <c r="D30" s="82"/>
      <c r="E30" s="47">
        <v>41</v>
      </c>
      <c r="F30" s="50" t="s">
        <v>258</v>
      </c>
      <c r="G30" s="47" t="s">
        <v>259</v>
      </c>
      <c r="H30" s="50" t="s">
        <v>260</v>
      </c>
      <c r="I30" s="47"/>
    </row>
    <row r="31" spans="1:9" ht="26.4">
      <c r="A31" s="83" t="s">
        <v>274</v>
      </c>
      <c r="B31" s="85" t="s">
        <v>277</v>
      </c>
      <c r="C31" s="47" t="s">
        <v>303</v>
      </c>
      <c r="D31" s="85" t="s">
        <v>256</v>
      </c>
      <c r="E31" s="47">
        <v>21</v>
      </c>
      <c r="F31" s="50" t="s">
        <v>258</v>
      </c>
      <c r="G31" s="47" t="s">
        <v>273</v>
      </c>
      <c r="H31" s="50" t="s">
        <v>260</v>
      </c>
      <c r="I31" s="56" t="s">
        <v>282</v>
      </c>
    </row>
    <row r="32" spans="1:9" ht="26.4">
      <c r="A32" s="82"/>
      <c r="B32" s="82"/>
      <c r="C32" s="73" t="s">
        <v>131</v>
      </c>
      <c r="D32" s="82"/>
      <c r="E32" s="47">
        <v>235</v>
      </c>
      <c r="F32" s="50" t="s">
        <v>258</v>
      </c>
      <c r="G32" s="50" t="s">
        <v>259</v>
      </c>
      <c r="H32" s="50" t="s">
        <v>260</v>
      </c>
      <c r="I32" s="56" t="s">
        <v>288</v>
      </c>
    </row>
    <row r="33" spans="1:9" ht="26.4">
      <c r="A33" s="82"/>
      <c r="B33" s="82"/>
      <c r="C33" s="49" t="s">
        <v>132</v>
      </c>
      <c r="D33" s="82"/>
      <c r="E33" s="47">
        <v>180</v>
      </c>
      <c r="F33" s="50" t="s">
        <v>258</v>
      </c>
      <c r="G33" s="47" t="s">
        <v>273</v>
      </c>
      <c r="H33" s="50" t="s">
        <v>260</v>
      </c>
      <c r="I33" s="70" t="s">
        <v>301</v>
      </c>
    </row>
    <row r="34" spans="1:9" ht="26.4">
      <c r="A34" s="85" t="s">
        <v>54</v>
      </c>
      <c r="B34" s="85" t="s">
        <v>153</v>
      </c>
      <c r="C34" s="57" t="s">
        <v>117</v>
      </c>
      <c r="D34" s="85" t="s">
        <v>256</v>
      </c>
      <c r="E34" s="47">
        <v>216</v>
      </c>
      <c r="F34" s="50" t="s">
        <v>271</v>
      </c>
      <c r="G34" s="47" t="s">
        <v>284</v>
      </c>
      <c r="H34" s="50" t="s">
        <v>260</v>
      </c>
      <c r="I34" s="47"/>
    </row>
    <row r="35" spans="1:9" ht="26.4">
      <c r="A35" s="82"/>
      <c r="B35" s="82"/>
      <c r="C35" s="57" t="s">
        <v>119</v>
      </c>
      <c r="D35" s="82"/>
      <c r="E35" s="47">
        <v>548</v>
      </c>
      <c r="F35" s="50" t="s">
        <v>271</v>
      </c>
      <c r="G35" s="47" t="s">
        <v>284</v>
      </c>
      <c r="H35" s="50" t="s">
        <v>260</v>
      </c>
      <c r="I35" s="47"/>
    </row>
    <row r="36" spans="1:9" ht="13.2">
      <c r="A36" s="82"/>
      <c r="B36" s="82"/>
      <c r="C36" s="57" t="s">
        <v>123</v>
      </c>
      <c r="D36" s="82"/>
      <c r="E36" s="47">
        <v>157</v>
      </c>
      <c r="F36" s="58"/>
      <c r="G36" s="47" t="s">
        <v>265</v>
      </c>
      <c r="H36" s="50" t="s">
        <v>260</v>
      </c>
      <c r="I36" s="47"/>
    </row>
    <row r="37" spans="1:9" ht="26.4">
      <c r="A37" s="82"/>
      <c r="B37" s="82"/>
      <c r="C37" s="57" t="s">
        <v>128</v>
      </c>
      <c r="D37" s="82"/>
      <c r="E37" s="47">
        <v>881</v>
      </c>
      <c r="F37" s="50" t="s">
        <v>267</v>
      </c>
      <c r="G37" s="47" t="s">
        <v>284</v>
      </c>
      <c r="H37" s="50" t="s">
        <v>260</v>
      </c>
      <c r="I37" s="47"/>
    </row>
    <row r="38" spans="1:9" ht="26.4">
      <c r="A38" s="82"/>
      <c r="B38" s="82"/>
      <c r="C38" s="57" t="s">
        <v>131</v>
      </c>
      <c r="D38" s="82"/>
      <c r="E38" s="47">
        <v>42</v>
      </c>
      <c r="F38" s="50" t="s">
        <v>267</v>
      </c>
      <c r="G38" s="47" t="s">
        <v>284</v>
      </c>
      <c r="H38" s="50" t="s">
        <v>260</v>
      </c>
      <c r="I38" s="47"/>
    </row>
    <row r="39" spans="1:9" ht="26.4">
      <c r="A39" s="82"/>
      <c r="B39" s="82"/>
      <c r="C39" s="57" t="s">
        <v>133</v>
      </c>
      <c r="D39" s="82"/>
      <c r="E39" s="47">
        <v>58</v>
      </c>
      <c r="F39" s="50" t="s">
        <v>313</v>
      </c>
      <c r="G39" s="47" t="s">
        <v>284</v>
      </c>
      <c r="H39" s="50" t="s">
        <v>260</v>
      </c>
      <c r="I39" s="47"/>
    </row>
    <row r="40" spans="1:9" ht="26.4">
      <c r="A40" s="83" t="s">
        <v>21</v>
      </c>
      <c r="B40" s="85" t="s">
        <v>224</v>
      </c>
      <c r="C40" s="57" t="s">
        <v>114</v>
      </c>
      <c r="D40" s="85" t="s">
        <v>256</v>
      </c>
      <c r="E40" s="47">
        <v>1383</v>
      </c>
      <c r="F40" s="50" t="s">
        <v>258</v>
      </c>
      <c r="G40" s="47" t="s">
        <v>259</v>
      </c>
      <c r="H40" s="50" t="s">
        <v>260</v>
      </c>
      <c r="I40" s="56" t="s">
        <v>236</v>
      </c>
    </row>
    <row r="41" spans="1:9" ht="26.4">
      <c r="A41" s="82"/>
      <c r="B41" s="82"/>
      <c r="C41" s="57" t="s">
        <v>120</v>
      </c>
      <c r="D41" s="82"/>
      <c r="E41" s="47">
        <v>253</v>
      </c>
      <c r="F41" s="50" t="s">
        <v>258</v>
      </c>
      <c r="G41" s="47" t="s">
        <v>259</v>
      </c>
      <c r="H41" s="50" t="s">
        <v>260</v>
      </c>
      <c r="I41" s="56" t="s">
        <v>264</v>
      </c>
    </row>
    <row r="42" spans="1:9" ht="13.2">
      <c r="A42" s="82"/>
      <c r="B42" s="83" t="s">
        <v>160</v>
      </c>
      <c r="C42" s="57" t="s">
        <v>114</v>
      </c>
      <c r="D42" s="85" t="s">
        <v>256</v>
      </c>
      <c r="E42" s="47">
        <v>850</v>
      </c>
      <c r="F42" s="50" t="s">
        <v>267</v>
      </c>
      <c r="G42" s="47" t="s">
        <v>273</v>
      </c>
      <c r="H42" s="50" t="s">
        <v>260</v>
      </c>
      <c r="I42" s="47"/>
    </row>
    <row r="43" spans="1:9" ht="13.2">
      <c r="A43" s="82"/>
      <c r="B43" s="82"/>
      <c r="C43" s="57" t="s">
        <v>117</v>
      </c>
      <c r="D43" s="82"/>
      <c r="E43" s="47">
        <v>60</v>
      </c>
      <c r="F43" s="50" t="s">
        <v>258</v>
      </c>
      <c r="G43" s="47" t="s">
        <v>259</v>
      </c>
      <c r="H43" s="50" t="s">
        <v>260</v>
      </c>
      <c r="I43" s="47"/>
    </row>
    <row r="44" spans="1:9" ht="13.2">
      <c r="A44" s="82"/>
      <c r="B44" s="82"/>
      <c r="C44" s="57" t="s">
        <v>119</v>
      </c>
      <c r="D44" s="82"/>
      <c r="E44" s="47">
        <v>48</v>
      </c>
      <c r="F44" s="50" t="s">
        <v>258</v>
      </c>
      <c r="G44" s="47" t="s">
        <v>259</v>
      </c>
      <c r="H44" s="50" t="s">
        <v>260</v>
      </c>
      <c r="I44" s="47"/>
    </row>
    <row r="45" spans="1:9" ht="26.4">
      <c r="A45" s="82"/>
      <c r="B45" s="82"/>
      <c r="C45" s="57" t="s">
        <v>120</v>
      </c>
      <c r="D45" s="82"/>
      <c r="E45" s="47">
        <v>350</v>
      </c>
      <c r="F45" s="50" t="s">
        <v>267</v>
      </c>
      <c r="G45" s="47" t="s">
        <v>273</v>
      </c>
      <c r="H45" s="50" t="s">
        <v>260</v>
      </c>
      <c r="I45" s="47"/>
    </row>
    <row r="46" spans="1:9" ht="13.2">
      <c r="A46" s="82"/>
      <c r="B46" s="82"/>
      <c r="C46" s="57" t="s">
        <v>121</v>
      </c>
      <c r="D46" s="82"/>
      <c r="E46" s="47">
        <v>10</v>
      </c>
      <c r="F46" s="74"/>
      <c r="G46" s="47" t="s">
        <v>273</v>
      </c>
      <c r="H46" s="50" t="s">
        <v>260</v>
      </c>
      <c r="I46" s="47"/>
    </row>
    <row r="47" spans="1:9" ht="13.2">
      <c r="A47" s="82"/>
      <c r="B47" s="82"/>
      <c r="C47" s="57" t="s">
        <v>128</v>
      </c>
      <c r="D47" s="82"/>
      <c r="E47" s="47">
        <v>120</v>
      </c>
      <c r="F47" s="50" t="s">
        <v>258</v>
      </c>
      <c r="G47" s="47" t="s">
        <v>259</v>
      </c>
      <c r="H47" s="50" t="s">
        <v>260</v>
      </c>
      <c r="I47" s="47"/>
    </row>
    <row r="48" spans="1:9" ht="13.2">
      <c r="A48" s="82"/>
      <c r="B48" s="82"/>
      <c r="C48" s="57" t="s">
        <v>132</v>
      </c>
      <c r="D48" s="82"/>
      <c r="E48" s="47">
        <v>450</v>
      </c>
      <c r="F48" s="50" t="s">
        <v>267</v>
      </c>
      <c r="G48" s="47" t="s">
        <v>273</v>
      </c>
      <c r="H48" s="50" t="s">
        <v>260</v>
      </c>
      <c r="I48" s="47"/>
    </row>
    <row r="49" spans="1:9" ht="26.4">
      <c r="A49" s="86"/>
      <c r="B49" s="86"/>
      <c r="C49" s="75" t="s">
        <v>133</v>
      </c>
      <c r="D49" s="86"/>
      <c r="E49" s="76">
        <v>5</v>
      </c>
      <c r="F49" s="77"/>
      <c r="G49" s="76" t="s">
        <v>259</v>
      </c>
      <c r="H49" s="78" t="s">
        <v>260</v>
      </c>
      <c r="I49" s="76"/>
    </row>
  </sheetData>
  <mergeCells count="26">
    <mergeCell ref="A14:A15"/>
    <mergeCell ref="B14:B15"/>
    <mergeCell ref="D14:D15"/>
    <mergeCell ref="B16:B19"/>
    <mergeCell ref="D16:D17"/>
    <mergeCell ref="A16:A30"/>
    <mergeCell ref="A31:A33"/>
    <mergeCell ref="A34:A39"/>
    <mergeCell ref="A40:A49"/>
    <mergeCell ref="D20:D30"/>
    <mergeCell ref="D31:D33"/>
    <mergeCell ref="B34:B39"/>
    <mergeCell ref="D34:D39"/>
    <mergeCell ref="B40:B41"/>
    <mergeCell ref="D40:D41"/>
    <mergeCell ref="B42:B49"/>
    <mergeCell ref="D42:D49"/>
    <mergeCell ref="B20:B30"/>
    <mergeCell ref="B31:B33"/>
    <mergeCell ref="A2:A8"/>
    <mergeCell ref="D2:D8"/>
    <mergeCell ref="B3:B8"/>
    <mergeCell ref="D9:D10"/>
    <mergeCell ref="A11:A13"/>
    <mergeCell ref="B11:B13"/>
    <mergeCell ref="D11:D13"/>
  </mergeCells>
  <hyperlinks>
    <hyperlink ref="I2" r:id="rId1" xr:uid="{00000000-0004-0000-0800-000000000000}"/>
    <hyperlink ref="I14" r:id="rId2" xr:uid="{00000000-0004-0000-0800-000001000000}"/>
    <hyperlink ref="I15" r:id="rId3" xr:uid="{00000000-0004-0000-0800-000002000000}"/>
    <hyperlink ref="I16" r:id="rId4" xr:uid="{00000000-0004-0000-0800-000003000000}"/>
    <hyperlink ref="I17" r:id="rId5" xr:uid="{00000000-0004-0000-0800-000004000000}"/>
    <hyperlink ref="I18" r:id="rId6" xr:uid="{00000000-0004-0000-0800-000005000000}"/>
    <hyperlink ref="I19" r:id="rId7" xr:uid="{00000000-0004-0000-0800-000006000000}"/>
    <hyperlink ref="I31" r:id="rId8" xr:uid="{00000000-0004-0000-0800-000007000000}"/>
    <hyperlink ref="I32" r:id="rId9" xr:uid="{00000000-0004-0000-0800-000008000000}"/>
    <hyperlink ref="I33" r:id="rId10" xr:uid="{00000000-0004-0000-0800-000009000000}"/>
    <hyperlink ref="I40" r:id="rId11" xr:uid="{00000000-0004-0000-0800-00000A000000}"/>
    <hyperlink ref="I41" r:id="rId12" xr:uid="{00000000-0004-0000-0800-00000B000000}"/>
  </hyperlinks>
  <pageMargins left="0.7" right="0.7" top="0.75" bottom="0.75" header="0.3" footer="0.3"/>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SM</vt:lpstr>
      <vt:lpstr>STable-1</vt:lpstr>
      <vt:lpstr>STable-2</vt:lpstr>
      <vt:lpstr>Table1</vt:lpstr>
      <vt:lpstr>fb</vt:lpstr>
      <vt:lpstr>ecuacion de busqueda</vt:lpstr>
      <vt:lpstr>STable-3</vt:lpstr>
      <vt:lpstr>Copia de emergentes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Hugo Baldera Chapoñan</cp:lastModifiedBy>
  <dcterms:modified xsi:type="dcterms:W3CDTF">2026-08-17T00:44:19Z</dcterms:modified>
</cp:coreProperties>
</file>